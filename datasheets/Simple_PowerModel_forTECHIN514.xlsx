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Parameters" sheetId="1" r:id="rId5"/>
    <sheet state="visible" name="Sensitivity Analysis" sheetId="2" r:id="rId6"/>
  </sheets>
  <definedNames/>
  <calcPr/>
</workbook>
</file>

<file path=xl/sharedStrings.xml><?xml version="1.0" encoding="utf-8"?>
<sst xmlns="http://schemas.openxmlformats.org/spreadsheetml/2006/main" count="82" uniqueCount="56">
  <si>
    <t>System Parameters (defined by hardware)</t>
  </si>
  <si>
    <t>Profiles (usage of each component mode - defined by software and usage)</t>
  </si>
  <si>
    <t>form the datasheets</t>
  </si>
  <si>
    <t>"off"</t>
  </si>
  <si>
    <t>"sensing"</t>
  </si>
  <si>
    <t>"interactive"</t>
  </si>
  <si>
    <t>Processor</t>
  </si>
  <si>
    <t>Active</t>
  </si>
  <si>
    <t>mW</t>
  </si>
  <si>
    <t>Idle</t>
  </si>
  <si>
    <t>Sleep</t>
  </si>
  <si>
    <t>LED(NeoPixel - WS2812B)</t>
  </si>
  <si>
    <t>On</t>
  </si>
  <si>
    <t>Sensor</t>
  </si>
  <si>
    <t>Off</t>
  </si>
  <si>
    <t>Motor (X27)</t>
  </si>
  <si>
    <t>Display(SSD1306)</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</si>
  <si>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</si>
  <si>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</si>
  <si>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</si>
  <si>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</si>
  <si>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</si>
  <si>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</si>
  <si>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</si>
  <si>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</si>
  <si>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</si>
  <si>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</si>
  <si>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</si>
  <si>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</si>
  <si>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</si>
  <si>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</si>
  <si>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</si>
  <si>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</si>
  <si>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</si>
  <si>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</si>
  <si>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</si>
  <si>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</si>
  <si>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</si>
  <si>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</si>
  <si>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</si>
  <si>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r>
      <rPr>
        <rFont val="Arial"/>
        <b/>
        <color theme="1"/>
      </rPr>
      <t>1. How did you determine your "days of use" metric?</t>
    </r>
    <r>
      <rPr>
        <rFont val="Arial"/>
        <color theme="1"/>
      </rPr>
      <t xml:space="preserve">
I determined the metric based on an Intermittent Usage Profile(On-demand use). Because the device does not have to be Always-on, a reasonable assumption is a scenario where the device is utilized by the user for 2 hours, while the device is at a Deep Sleep state for the next 22 hours of the day. The calculation for Days of Use is determined by dividing the effective battery capacity (mWh) by the daily battery usage.
</t>
    </r>
    <r>
      <rPr>
        <rFont val="Arial"/>
        <b/>
        <color theme="1"/>
      </rPr>
      <t>2. What do you think is the optimum size for the battery in your device?</t>
    </r>
    <r>
      <rPr>
        <rFont val="Arial"/>
        <color theme="1"/>
      </rPr>
      <t xml:space="preserve">
I think that the battery type of 3.7V 500mAh Li-Po battery is the most suitable for our project because, based on my calculation, it can run for around 3.2 to 3.8 days, which allows the user of this wearable device to charge the battery only twice a week. Adding more capacity like 1000mAh will definitely offer longer battery life but at a cost of a bulky and heavy device. 
</t>
    </r>
    <r>
      <rPr>
        <rFont val="Arial"/>
        <b/>
        <color theme="1"/>
      </rPr>
      <t>3. What hardware/software/cost/effort tradeoffs could you make to improve the user experience?</t>
    </r>
    <r>
      <rPr>
        <rFont val="Arial"/>
        <color theme="1"/>
      </rPr>
      <t xml:space="preserve">
Software Trade-off: I may use ESP-NOW rather than Wi-Fi in order to minimize communication time and power consumption. However, this may demand a much more complex programming task. 
Hardware Trade-off: I may use E-ink rather than OLED in order to minimize battery consumption, given that E-ink consumes a negligible amount of power from the battery during static operation. However, this will result in a high cost of components and a reduction in refresh rate (responsiveness).</t>
    </r>
  </si>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</sst>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color theme="1"/>
      <name val="Arial"/>
      <scheme val="minor"/>
    </font>
    <font>
      <b/>
      <color theme="1"/>
      <name val="Arial"/>
      <scheme val="minor"/>
    </font>
    <font>
      <sz val="11.0"/>
      <color theme="1"/>
      <name val="Arial"/>
      <scheme val="minor"/>
    </font>
    <font>
      <b/>
      <u/>
      <color rgb="FF0000FF"/>
    </font>
    <font>
      <b/>
      <u/>
      <color rgb="FF0000FF"/>
    </font>
    <font>
      <u/>
      <color rgb="FF0000FF"/>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readingOrder="0"/>
    </xf>
    <xf borderId="0" fillId="0" fontId="2" numFmtId="0" xfId="0" applyAlignment="1" applyFont="1">
      <alignment readingOrder="0"/>
    </xf>
    <xf borderId="5" fillId="0" fontId="1" numFmtId="0" xfId="0" applyBorder="1" applyFont="1"/>
    <xf borderId="4" fillId="0" fontId="1" numFmtId="0" xfId="0" applyBorder="1" applyFont="1"/>
    <xf borderId="0" fillId="0" fontId="3" numFmtId="0" xfId="0" applyAlignment="1" applyFont="1">
      <alignment readingOrder="0"/>
    </xf>
    <xf borderId="0" fillId="0" fontId="1" numFmtId="0" xfId="0" applyAlignment="1" applyFont="1">
      <alignment readingOrder="0"/>
    </xf>
    <xf borderId="4" fillId="0" fontId="4" numFmtId="0" xfId="0" applyAlignment="1" applyBorder="1" applyFont="1">
      <alignment readingOrder="0"/>
    </xf>
    <xf borderId="4" fillId="0" fontId="1" numFmtId="0" xfId="0" applyAlignment="1" applyBorder="1" applyFont="1">
      <alignment readingOrder="0"/>
    </xf>
    <xf borderId="0" fillId="2" fontId="3" numFmtId="1" xfId="0" applyAlignment="1" applyFill="1" applyFont="1" applyNumberFormat="1">
      <alignment readingOrder="0"/>
    </xf>
    <xf borderId="0" fillId="2" fontId="1" numFmtId="9" xfId="0" applyAlignment="1" applyFont="1" applyNumberFormat="1">
      <alignment readingOrder="0"/>
    </xf>
    <xf borderId="0" fillId="2" fontId="3" numFmtId="9" xfId="0" applyAlignment="1" applyFont="1" applyNumberFormat="1">
      <alignment readingOrder="0"/>
    </xf>
    <xf borderId="0" fillId="2" fontId="1" numFmtId="1" xfId="0" applyAlignment="1" applyFont="1" applyNumberFormat="1">
      <alignment readingOrder="0"/>
    </xf>
    <xf borderId="0" fillId="0" fontId="1" numFmtId="1" xfId="0" applyFont="1" applyNumberFormat="1"/>
    <xf borderId="0" fillId="0" fontId="5" numFmtId="0" xfId="0" applyAlignment="1" applyFont="1">
      <alignment readingOrder="0"/>
    </xf>
    <xf borderId="0" fillId="2" fontId="1" numFmtId="0" xfId="0" applyAlignment="1" applyFont="1">
      <alignment readingOrder="0"/>
    </xf>
    <xf borderId="0" fillId="3" fontId="1" numFmtId="0" xfId="0" applyAlignment="1" applyFill="1" applyFont="1">
      <alignment readingOrder="0"/>
    </xf>
    <xf borderId="0" fillId="3" fontId="1" numFmtId="0" xfId="0" applyFont="1"/>
    <xf borderId="0" fillId="3" fontId="1" numFmtId="164" xfId="0" applyFont="1" applyNumberFormat="1"/>
    <xf borderId="0" fillId="0" fontId="1" numFmtId="0" xfId="0" applyFont="1"/>
    <xf borderId="0" fillId="4" fontId="2" numFmtId="0" xfId="0" applyAlignment="1" applyFill="1" applyFont="1">
      <alignment readingOrder="0"/>
    </xf>
    <xf borderId="0" fillId="4" fontId="2" numFmtId="2" xfId="0" applyFont="1" applyNumberFormat="1"/>
    <xf borderId="6" fillId="0" fontId="1" numFmtId="0" xfId="0" applyBorder="1" applyFont="1"/>
    <xf borderId="7" fillId="0" fontId="1" numFmtId="0" xfId="0" applyBorder="1" applyFont="1"/>
    <xf borderId="8" fillId="0" fontId="1" numFmtId="0" xfId="0" applyBorder="1" applyFont="1"/>
    <xf borderId="0" fillId="0" fontId="6" numFmtId="0" xfId="0" applyFont="1"/>
    <xf borderId="0" fillId="0" fontId="1" numFmtId="9"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1206936522"/>
        <c:axId val="2071752453"/>
      </c:barChart>
      <c:catAx>
        <c:axId val="1206936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71752453"/>
      </c:catAx>
      <c:valAx>
        <c:axId val="2071752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69365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plotArea>
      <c:layout/>
      <c:barChart>
        <c:barDir val="col"/>
        <c:ser>
          <c:idx val="0"/>
          <c:order val="0"/>
          <c:spPr>
            <a:solidFill>
              <a:schemeClr val="accent1"/>
            </a:solidFill>
            <a:ln cmpd="sng">
              <a:solidFill>
                <a:srgbClr val="000000"/>
              </a:solidFill>
            </a:ln>
          </c:spPr>
          <c:cat>
            <c:strRef>
              <c:f>'Sensitivity Analysis'!$D$99:$O$99</c:f>
            </c:strRef>
          </c:cat>
          <c:val>
            <c:numRef>
              <c:f>'Sensitivity Analysis'!$D$98:$O$98</c:f>
              <c:numCache/>
            </c:numRef>
          </c:val>
        </c:ser>
        <c:axId val="493829399"/>
        <c:axId val="1369725182"/>
      </c:barChart>
      <c:catAx>
        <c:axId val="4938293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69725182"/>
      </c:catAx>
      <c:valAx>
        <c:axId val="1369725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382939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180975</xdr:rowOff>
    </xdr:from>
    <xdr:ext cx="6743700" cy="4171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3723525" y="2928400"/>
          <a:ext cx="30642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a:t>
          </a:r>
          <a:r>
            <a:rPr lang="en-US" sz="1400"/>
            <a:t>f component changes by 10%...</a:t>
          </a:r>
          <a:endParaRPr sz="1400"/>
        </a:p>
        <a:p>
          <a:pPr indent="0" lvl="0" marL="0" rtl="0" algn="l">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2</xdr:row>
      <xdr:rowOff>171450</xdr:rowOff>
    </xdr:from>
    <xdr:ext cx="6743700" cy="41719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355075" y="2317525"/>
          <a:ext cx="3355200" cy="831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If component changes by 10%</a:t>
          </a:r>
          <a:endParaRPr sz="1400"/>
        </a:p>
        <a:p>
          <a:pPr indent="0" lvl="0" marL="0" rtl="0" algn="l">
            <a:spcBef>
              <a:spcPts val="0"/>
            </a:spcBef>
            <a:spcAft>
              <a:spcPts val="0"/>
            </a:spcAft>
            <a:buNone/>
          </a:pPr>
          <a:r>
            <a:rPr lang="en-US" sz="1400"/>
            <a:t>… “hours” of use changes by x%</a:t>
          </a:r>
          <a:endParaRPr sz="14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iki.seeedstudio.com/XIAO_ESP32C3_Getting_Started/" TargetMode="External"/><Relationship Id="rId2" Type="http://schemas.openxmlformats.org/officeDocument/2006/relationships/hyperlink" Target="https://cdn-shop.adafruit.com/datasheets/WS2812B.pdf" TargetMode="External"/><Relationship Id="rId3" Type="http://schemas.openxmlformats.org/officeDocument/2006/relationships/hyperlink" Target="https://www.ti.com/product/LM324" TargetMode="External"/><Relationship Id="rId4" Type="http://schemas.openxmlformats.org/officeDocument/2006/relationships/hyperlink" Target="http://agr.ucoz.lv/files/SP_X27_e_C.pdf" TargetMode="External"/><Relationship Id="rId5" Type="http://schemas.openxmlformats.org/officeDocument/2006/relationships/hyperlink" Target="https://cdn-shop.adafruit.com/datasheets/SSD1306.pdf" TargetMode="External"/><Relationship Id="rId6" Type="http://schemas.openxmlformats.org/officeDocument/2006/relationships/hyperlink" Target="https://documentation.espressif.com/esp32-c3_datasheet_en.pdf" TargetMode="External"/><Relationship Id="rId7" Type="http://schemas.openxmlformats.org/officeDocument/2006/relationships/hyperlink" Target="https://cdn-shop.adafruit.com/product-files/1578/Datasheet.pdf"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5" max="5" width="12.75"/>
  </cols>
  <sheetData>
    <row r="2">
      <c r="A2" s="1"/>
      <c r="B2" s="2"/>
      <c r="C2" s="2"/>
      <c r="D2" s="2"/>
      <c r="E2" s="2"/>
      <c r="F2" s="2"/>
      <c r="G2" s="2"/>
      <c r="H2" s="2"/>
      <c r="I2" s="3"/>
    </row>
    <row r="3">
      <c r="A3" s="4" t="s">
        <v>0</v>
      </c>
      <c r="E3" s="5" t="s">
        <v>1</v>
      </c>
      <c r="I3" s="6"/>
    </row>
    <row r="4">
      <c r="A4" s="7"/>
      <c r="B4" s="8" t="s">
        <v>2</v>
      </c>
      <c r="I4" s="6"/>
    </row>
    <row r="5">
      <c r="A5" s="7"/>
      <c r="E5" s="9" t="s">
        <v>3</v>
      </c>
      <c r="F5" s="9" t="s">
        <v>4</v>
      </c>
      <c r="G5" s="9" t="s">
        <v>5</v>
      </c>
      <c r="I5" s="6"/>
    </row>
    <row r="6">
      <c r="A6" s="10" t="s">
        <v>6</v>
      </c>
      <c r="I6" s="6"/>
    </row>
    <row r="7">
      <c r="A7" s="11" t="s">
        <v>7</v>
      </c>
      <c r="B7" s="12">
        <v>247.5</v>
      </c>
      <c r="C7" s="9" t="s">
        <v>8</v>
      </c>
      <c r="E7" s="13">
        <v>0.0</v>
      </c>
      <c r="F7" s="14">
        <v>0.05</v>
      </c>
      <c r="G7" s="13">
        <v>0.05</v>
      </c>
      <c r="I7" s="6"/>
    </row>
    <row r="8">
      <c r="A8" s="11" t="s">
        <v>9</v>
      </c>
      <c r="B8" s="15">
        <v>82.5</v>
      </c>
      <c r="C8" s="9" t="s">
        <v>8</v>
      </c>
      <c r="E8" s="13">
        <v>0.0</v>
      </c>
      <c r="F8" s="14">
        <v>0.95</v>
      </c>
      <c r="G8" s="13">
        <v>0.95</v>
      </c>
      <c r="I8" s="6"/>
    </row>
    <row r="9">
      <c r="A9" s="11" t="s">
        <v>10</v>
      </c>
      <c r="B9" s="15">
        <v>0.15</v>
      </c>
      <c r="C9" s="9" t="s">
        <v>8</v>
      </c>
      <c r="E9" s="13">
        <v>1.0</v>
      </c>
      <c r="F9" s="13">
        <v>0.0</v>
      </c>
      <c r="G9" s="13">
        <v>0.0</v>
      </c>
      <c r="I9" s="6"/>
    </row>
    <row r="10">
      <c r="A10" s="7"/>
      <c r="I10" s="6"/>
    </row>
    <row r="11">
      <c r="A11" s="10" t="s">
        <v>11</v>
      </c>
      <c r="I11" s="6"/>
    </row>
    <row r="12">
      <c r="A12" s="11" t="s">
        <v>12</v>
      </c>
      <c r="B12" s="15">
        <v>66.0</v>
      </c>
      <c r="C12" s="9" t="s">
        <v>8</v>
      </c>
      <c r="E12" s="13">
        <v>0.0</v>
      </c>
      <c r="F12" s="13">
        <v>0.0</v>
      </c>
      <c r="G12" s="13">
        <v>0.2</v>
      </c>
      <c r="I12" s="6"/>
    </row>
    <row r="13">
      <c r="A13" s="7"/>
      <c r="B13" s="16"/>
      <c r="I13" s="6"/>
    </row>
    <row r="14">
      <c r="A14" s="10" t="s">
        <v>13</v>
      </c>
      <c r="B14" s="16"/>
      <c r="I14" s="6"/>
    </row>
    <row r="15">
      <c r="A15" s="11" t="s">
        <v>12</v>
      </c>
      <c r="B15" s="15">
        <v>9.9</v>
      </c>
      <c r="C15" s="9" t="s">
        <v>8</v>
      </c>
      <c r="E15" s="13">
        <v>0.0</v>
      </c>
      <c r="F15" s="13">
        <v>1.0</v>
      </c>
      <c r="G15" s="13">
        <v>0.0</v>
      </c>
      <c r="I15" s="6"/>
    </row>
    <row r="16">
      <c r="A16" s="11" t="s">
        <v>9</v>
      </c>
      <c r="B16" s="15">
        <v>9.9</v>
      </c>
      <c r="C16" s="9" t="s">
        <v>8</v>
      </c>
      <c r="E16" s="13">
        <v>0.0</v>
      </c>
      <c r="F16" s="13">
        <v>0.0</v>
      </c>
      <c r="G16" s="13">
        <v>0.0</v>
      </c>
      <c r="I16" s="6"/>
    </row>
    <row r="17">
      <c r="A17" s="11" t="s">
        <v>14</v>
      </c>
      <c r="B17" s="15">
        <v>0.0</v>
      </c>
      <c r="C17" s="9" t="s">
        <v>8</v>
      </c>
      <c r="E17" s="13">
        <v>1.0</v>
      </c>
      <c r="F17" s="13">
        <v>0.0</v>
      </c>
      <c r="G17" s="13">
        <v>1.0</v>
      </c>
      <c r="I17" s="6"/>
    </row>
    <row r="18">
      <c r="A18" s="11"/>
      <c r="B18" s="9"/>
      <c r="C18" s="9"/>
      <c r="D18" s="9"/>
      <c r="E18" s="9"/>
      <c r="F18" s="9"/>
      <c r="G18" s="9"/>
      <c r="H18" s="9"/>
      <c r="I18" s="6"/>
    </row>
    <row r="19">
      <c r="A19" s="17" t="s">
        <v>15</v>
      </c>
      <c r="B19" s="16"/>
      <c r="I19" s="6"/>
    </row>
    <row r="20">
      <c r="A20" s="11" t="s">
        <v>12</v>
      </c>
      <c r="B20" s="15">
        <v>192.0</v>
      </c>
      <c r="C20" s="9" t="s">
        <v>8</v>
      </c>
      <c r="E20" s="13">
        <v>0.0</v>
      </c>
      <c r="F20" s="13">
        <v>0.0</v>
      </c>
      <c r="G20" s="13">
        <v>0.05</v>
      </c>
      <c r="I20" s="6"/>
    </row>
    <row r="21">
      <c r="A21" s="11" t="s">
        <v>9</v>
      </c>
      <c r="B21" s="15">
        <v>0.0</v>
      </c>
      <c r="C21" s="9" t="s">
        <v>8</v>
      </c>
      <c r="E21" s="13">
        <v>0.0</v>
      </c>
      <c r="F21" s="13">
        <v>0.0</v>
      </c>
      <c r="G21" s="13">
        <v>0.0</v>
      </c>
      <c r="I21" s="6"/>
    </row>
    <row r="22">
      <c r="A22" s="11" t="s">
        <v>14</v>
      </c>
      <c r="B22" s="15">
        <v>0.0</v>
      </c>
      <c r="C22" s="9" t="s">
        <v>8</v>
      </c>
      <c r="E22" s="13">
        <v>1.0</v>
      </c>
      <c r="F22" s="13">
        <v>1.0</v>
      </c>
      <c r="G22" s="13">
        <v>0.95</v>
      </c>
      <c r="I22" s="6"/>
    </row>
    <row r="23">
      <c r="A23" s="7"/>
      <c r="B23" s="16"/>
      <c r="I23" s="6"/>
    </row>
    <row r="24">
      <c r="A24" s="10" t="s">
        <v>16</v>
      </c>
      <c r="B24" s="16"/>
      <c r="I24" s="6"/>
    </row>
    <row r="25">
      <c r="A25" s="11" t="s">
        <v>12</v>
      </c>
      <c r="B25" s="15">
        <v>66.0</v>
      </c>
      <c r="C25" s="9" t="s">
        <v>8</v>
      </c>
      <c r="E25" s="13">
        <v>0.0</v>
      </c>
      <c r="F25" s="13">
        <v>0.0</v>
      </c>
      <c r="G25" s="13">
        <v>1.0</v>
      </c>
      <c r="I25" s="6"/>
    </row>
    <row r="26">
      <c r="A26" s="11" t="s">
        <v>17</v>
      </c>
      <c r="B26" s="15">
        <v>0.03</v>
      </c>
      <c r="C26" s="9" t="s">
        <v>8</v>
      </c>
      <c r="E26" s="13">
        <v>1.0</v>
      </c>
      <c r="F26" s="13">
        <v>1.0</v>
      </c>
      <c r="G26" s="13">
        <v>0.0</v>
      </c>
      <c r="I26" s="6"/>
    </row>
    <row r="27">
      <c r="A27" s="7"/>
      <c r="I27" s="6"/>
    </row>
    <row r="28">
      <c r="A28" s="10" t="s">
        <v>18</v>
      </c>
      <c r="I28" s="6"/>
      <c r="K28" s="1"/>
      <c r="L28" s="2"/>
      <c r="M28" s="2"/>
      <c r="N28" s="2"/>
      <c r="O28" s="2"/>
      <c r="P28" s="2"/>
      <c r="Q28" s="3"/>
    </row>
    <row r="29">
      <c r="A29" s="11" t="s">
        <v>19</v>
      </c>
      <c r="B29" s="18">
        <v>1000000.0</v>
      </c>
      <c r="C29" s="9" t="s">
        <v>20</v>
      </c>
      <c r="E29" s="13">
        <v>0.0</v>
      </c>
      <c r="F29" s="13">
        <v>0.0</v>
      </c>
      <c r="G29" s="13">
        <v>0.0</v>
      </c>
      <c r="I29" s="6"/>
      <c r="K29" s="7"/>
      <c r="L29" s="19" t="s">
        <v>21</v>
      </c>
      <c r="M29" s="20"/>
      <c r="N29" s="20"/>
      <c r="O29" s="19" t="s">
        <v>22</v>
      </c>
      <c r="P29" s="20"/>
      <c r="Q29" s="6"/>
    </row>
    <row r="30">
      <c r="A30" s="11" t="s">
        <v>23</v>
      </c>
      <c r="B30" s="15">
        <v>83.0</v>
      </c>
      <c r="C30" s="9" t="s">
        <v>8</v>
      </c>
      <c r="E30" s="13">
        <v>0.0</v>
      </c>
      <c r="F30" s="13">
        <v>0.95</v>
      </c>
      <c r="G30" s="13">
        <v>0.9</v>
      </c>
      <c r="I30" s="6"/>
      <c r="K30" s="7"/>
      <c r="L30" s="20" t="str">
        <f>E5</f>
        <v>"off"</v>
      </c>
      <c r="M30" s="20">
        <f>SUMPRODUCT(B7:B32, E7:E32)</f>
        <v>0.18</v>
      </c>
      <c r="N30" s="19" t="s">
        <v>8</v>
      </c>
      <c r="O30" s="21">
        <f t="shared" ref="O30:O32" si="1">$M$35/M30</f>
        <v>10175</v>
      </c>
      <c r="P30" s="19" t="s">
        <v>24</v>
      </c>
      <c r="Q30" s="6"/>
    </row>
    <row r="31">
      <c r="A31" s="11" t="s">
        <v>25</v>
      </c>
      <c r="B31" s="15">
        <v>1105.5</v>
      </c>
      <c r="C31" s="9" t="s">
        <v>8</v>
      </c>
      <c r="E31" s="13">
        <v>0.0</v>
      </c>
      <c r="F31" s="13">
        <v>0.05</v>
      </c>
      <c r="G31" s="13">
        <v>0.0</v>
      </c>
      <c r="I31" s="6"/>
      <c r="K31" s="7"/>
      <c r="L31" s="20" t="str">
        <f>F5</f>
        <v>"sensing"</v>
      </c>
      <c r="M31" s="20">
        <f>SUMPRODUCT(B7:B32, F7:F32)</f>
        <v>234.805</v>
      </c>
      <c r="N31" s="19" t="s">
        <v>8</v>
      </c>
      <c r="O31" s="21">
        <f t="shared" si="1"/>
        <v>7.800089436</v>
      </c>
      <c r="P31" s="19" t="s">
        <v>24</v>
      </c>
      <c r="Q31" s="6"/>
    </row>
    <row r="32">
      <c r="A32" s="11" t="s">
        <v>26</v>
      </c>
      <c r="B32" s="15">
        <v>277.2</v>
      </c>
      <c r="C32" s="9" t="s">
        <v>8</v>
      </c>
      <c r="E32" s="13">
        <v>0.0</v>
      </c>
      <c r="F32" s="13">
        <v>0.0</v>
      </c>
      <c r="G32" s="13">
        <v>0.1</v>
      </c>
      <c r="I32" s="6"/>
      <c r="K32" s="7"/>
      <c r="L32" s="20" t="str">
        <f>G5</f>
        <v>"interactive"</v>
      </c>
      <c r="M32" s="20">
        <f>SUMPRODUCT(B7:B32, G7:G32)</f>
        <v>281.97</v>
      </c>
      <c r="N32" s="19" t="s">
        <v>8</v>
      </c>
      <c r="O32" s="21">
        <f t="shared" si="1"/>
        <v>6.495371848</v>
      </c>
      <c r="P32" s="19" t="s">
        <v>24</v>
      </c>
      <c r="Q32" s="6"/>
    </row>
    <row r="33">
      <c r="A33" s="7"/>
      <c r="I33" s="6"/>
      <c r="K33" s="7"/>
      <c r="Q33" s="6"/>
    </row>
    <row r="34">
      <c r="A34" s="4"/>
      <c r="E34" s="18">
        <v>22.0</v>
      </c>
      <c r="F34" s="18">
        <v>2.0</v>
      </c>
      <c r="G34" s="18">
        <v>0.0</v>
      </c>
      <c r="H34" s="9" t="s">
        <v>27</v>
      </c>
      <c r="I34" s="6"/>
      <c r="K34" s="7"/>
      <c r="L34" s="9" t="s">
        <v>28</v>
      </c>
      <c r="Q34" s="6"/>
    </row>
    <row r="35">
      <c r="A35" s="10" t="s">
        <v>29</v>
      </c>
      <c r="I35" s="6"/>
      <c r="K35" s="7"/>
      <c r="M35" s="22">
        <f>B36*B37*B38</f>
        <v>1831.5</v>
      </c>
      <c r="N35" s="9" t="s">
        <v>30</v>
      </c>
      <c r="Q35" s="6"/>
    </row>
    <row r="36">
      <c r="A36" s="11" t="s">
        <v>31</v>
      </c>
      <c r="B36" s="15">
        <v>500.0</v>
      </c>
      <c r="C36" s="9" t="s">
        <v>32</v>
      </c>
      <c r="I36" s="6"/>
      <c r="K36" s="7"/>
      <c r="Q36" s="6"/>
    </row>
    <row r="37">
      <c r="A37" s="11" t="s">
        <v>33</v>
      </c>
      <c r="B37" s="15">
        <v>3.7</v>
      </c>
      <c r="C37" s="9" t="s">
        <v>34</v>
      </c>
      <c r="I37" s="6"/>
      <c r="K37" s="7"/>
      <c r="L37" s="23" t="s">
        <v>35</v>
      </c>
      <c r="M37" s="24">
        <f>M35/(E34*M30+F34*M31+G34*M32)</f>
        <v>3.867432481</v>
      </c>
      <c r="N37" s="23" t="s">
        <v>36</v>
      </c>
      <c r="Q37" s="6"/>
    </row>
    <row r="38">
      <c r="A38" s="11" t="s">
        <v>37</v>
      </c>
      <c r="B38" s="13">
        <v>0.99</v>
      </c>
      <c r="I38" s="6"/>
      <c r="K38" s="7"/>
      <c r="L38" s="23" t="s">
        <v>38</v>
      </c>
      <c r="M38" s="24">
        <f>M37*24</f>
        <v>92.81837954</v>
      </c>
      <c r="N38" s="23" t="s">
        <v>24</v>
      </c>
      <c r="Q38" s="6"/>
    </row>
    <row r="39">
      <c r="A39" s="25"/>
      <c r="B39" s="26"/>
      <c r="C39" s="26"/>
      <c r="D39" s="26"/>
      <c r="E39" s="26"/>
      <c r="F39" s="26"/>
      <c r="G39" s="26"/>
      <c r="H39" s="26"/>
      <c r="I39" s="27"/>
      <c r="K39" s="25"/>
      <c r="L39" s="26"/>
      <c r="M39" s="26"/>
      <c r="N39" s="26"/>
      <c r="O39" s="26"/>
      <c r="P39" s="26"/>
      <c r="Q39" s="27"/>
    </row>
    <row r="42">
      <c r="A42" s="5" t="s">
        <v>39</v>
      </c>
    </row>
    <row r="43">
      <c r="A43" s="9" t="s">
        <v>40</v>
      </c>
    </row>
  </sheetData>
  <hyperlinks>
    <hyperlink r:id="rId1" ref="A6"/>
    <hyperlink r:id="rId2" ref="A11"/>
    <hyperlink r:id="rId3" ref="A14"/>
    <hyperlink r:id="rId4" ref="A19"/>
    <hyperlink r:id="rId5" ref="A24"/>
    <hyperlink r:id="rId6" ref="A28"/>
    <hyperlink r:id="rId7" ref="A35"/>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0">
      <c r="A50" s="9" t="s">
        <v>41</v>
      </c>
    </row>
    <row r="52">
      <c r="A52" s="22" t="str">
        <f>'System Parameters'!A3</f>
        <v>System Parameters (defined by hardware)</v>
      </c>
      <c r="B52" s="22" t="str">
        <f>'System Parameters'!B3</f>
        <v/>
      </c>
      <c r="C52" s="22" t="str">
        <f>'System Parameters'!C3</f>
        <v/>
      </c>
      <c r="D52" s="22" t="str">
        <f>'System Parameters'!D3</f>
        <v/>
      </c>
      <c r="T52" s="22" t="str">
        <f>'System Parameters'!E3</f>
        <v>Profiles (usage of each component mode - defined by software and usage)</v>
      </c>
      <c r="U52" s="22" t="str">
        <f>'System Parameters'!F3</f>
        <v/>
      </c>
      <c r="V52" s="22" t="str">
        <f>'System Parameters'!G3</f>
        <v/>
      </c>
      <c r="W52" s="22" t="str">
        <f>'System Parameters'!H3</f>
        <v/>
      </c>
    </row>
    <row r="53">
      <c r="A53" s="22" t="str">
        <f>'System Parameters'!A4</f>
        <v/>
      </c>
      <c r="B53" s="22" t="str">
        <f>'System Parameters'!B4</f>
        <v>form the datasheets</v>
      </c>
      <c r="C53" s="22" t="str">
        <f>'System Parameters'!C4</f>
        <v/>
      </c>
      <c r="D53" s="22" t="str">
        <f>'System Parameters'!D4</f>
        <v/>
      </c>
      <c r="T53" s="22" t="str">
        <f>'System Parameters'!E4</f>
        <v/>
      </c>
      <c r="U53" s="22" t="str">
        <f>'System Parameters'!F4</f>
        <v/>
      </c>
      <c r="V53" s="22" t="str">
        <f>'System Parameters'!G4</f>
        <v/>
      </c>
      <c r="W53" s="22" t="str">
        <f>'System Parameters'!H4</f>
        <v/>
      </c>
    </row>
    <row r="54">
      <c r="A54" s="22" t="str">
        <f>'System Parameters'!A5</f>
        <v/>
      </c>
      <c r="B54" s="22" t="str">
        <f>'System Parameters'!B5</f>
        <v/>
      </c>
      <c r="C54" s="22" t="str">
        <f>'System Parameters'!C5</f>
        <v/>
      </c>
      <c r="D54" s="22" t="str">
        <f>'System Parameters'!D5</f>
        <v/>
      </c>
      <c r="T54" s="22" t="str">
        <f>'System Parameters'!E5</f>
        <v>"off"</v>
      </c>
      <c r="U54" s="22" t="str">
        <f>'System Parameters'!F5</f>
        <v>"sensing"</v>
      </c>
      <c r="V54" s="22" t="str">
        <f>'System Parameters'!G5</f>
        <v>"interactive"</v>
      </c>
      <c r="W54" s="22" t="str">
        <f>'System Parameters'!H5</f>
        <v/>
      </c>
    </row>
    <row r="55">
      <c r="A55" s="28" t="str">
        <f>'System Parameters'!A6</f>
        <v>Processor</v>
      </c>
      <c r="B55" s="22" t="str">
        <f>'System Parameters'!B6</f>
        <v/>
      </c>
      <c r="C55" s="22" t="str">
        <f>'System Parameters'!C6</f>
        <v/>
      </c>
      <c r="D55" s="22" t="str">
        <f>'System Parameters'!D6</f>
        <v/>
      </c>
      <c r="T55" s="22" t="str">
        <f>'System Parameters'!E6</f>
        <v/>
      </c>
      <c r="U55" s="22" t="str">
        <f>'System Parameters'!F6</f>
        <v/>
      </c>
      <c r="V55" s="22" t="str">
        <f>'System Parameters'!G6</f>
        <v/>
      </c>
      <c r="W55" s="22" t="str">
        <f>'System Parameters'!H6</f>
        <v/>
      </c>
    </row>
    <row r="56">
      <c r="A56" s="22" t="str">
        <f>'System Parameters'!A7</f>
        <v>Active</v>
      </c>
      <c r="B56" s="16">
        <f>'System Parameters'!B7</f>
        <v>247.5</v>
      </c>
      <c r="C56" s="22" t="str">
        <f>'System Parameters'!C7</f>
        <v>mW</v>
      </c>
      <c r="D56" s="22">
        <f>$B56*0.9</f>
        <v>222.75</v>
      </c>
      <c r="E56" s="16">
        <f t="shared" ref="E56:O56" si="1">$B56</f>
        <v>247.5</v>
      </c>
      <c r="F56" s="16">
        <f t="shared" si="1"/>
        <v>247.5</v>
      </c>
      <c r="G56" s="16">
        <f t="shared" si="1"/>
        <v>247.5</v>
      </c>
      <c r="H56" s="16">
        <f t="shared" si="1"/>
        <v>247.5</v>
      </c>
      <c r="I56" s="16">
        <f t="shared" si="1"/>
        <v>247.5</v>
      </c>
      <c r="J56" s="16">
        <f t="shared" si="1"/>
        <v>247.5</v>
      </c>
      <c r="K56" s="16">
        <f t="shared" si="1"/>
        <v>247.5</v>
      </c>
      <c r="L56" s="16">
        <f t="shared" si="1"/>
        <v>247.5</v>
      </c>
      <c r="M56" s="16">
        <f t="shared" si="1"/>
        <v>247.5</v>
      </c>
      <c r="N56" s="16">
        <f t="shared" si="1"/>
        <v>247.5</v>
      </c>
      <c r="O56" s="16">
        <f t="shared" si="1"/>
        <v>247.5</v>
      </c>
      <c r="T56" s="29">
        <f>'System Parameters'!E7</f>
        <v>0</v>
      </c>
      <c r="U56" s="29">
        <f>'System Parameters'!F7</f>
        <v>0.05</v>
      </c>
      <c r="V56" s="29">
        <f>'System Parameters'!G7</f>
        <v>0.05</v>
      </c>
      <c r="W56" s="22" t="str">
        <f>'System Parameters'!H7</f>
        <v/>
      </c>
    </row>
    <row r="57">
      <c r="A57" s="22" t="str">
        <f>'System Parameters'!A8</f>
        <v>Idle</v>
      </c>
      <c r="B57" s="16">
        <f>'System Parameters'!B8</f>
        <v>82.5</v>
      </c>
      <c r="C57" s="22" t="str">
        <f>'System Parameters'!C8</f>
        <v>mW</v>
      </c>
      <c r="D57" s="16">
        <f t="shared" ref="D57:D76" si="3">$B57</f>
        <v>82.5</v>
      </c>
      <c r="E57" s="22">
        <f>$B57*0.9</f>
        <v>74.25</v>
      </c>
      <c r="F57" s="16">
        <f t="shared" ref="F57:O57" si="2">$B57</f>
        <v>82.5</v>
      </c>
      <c r="G57" s="16">
        <f t="shared" si="2"/>
        <v>82.5</v>
      </c>
      <c r="H57" s="16">
        <f t="shared" si="2"/>
        <v>82.5</v>
      </c>
      <c r="I57" s="16">
        <f t="shared" si="2"/>
        <v>82.5</v>
      </c>
      <c r="J57" s="16">
        <f t="shared" si="2"/>
        <v>82.5</v>
      </c>
      <c r="K57" s="16">
        <f t="shared" si="2"/>
        <v>82.5</v>
      </c>
      <c r="L57" s="16">
        <f t="shared" si="2"/>
        <v>82.5</v>
      </c>
      <c r="M57" s="16">
        <f t="shared" si="2"/>
        <v>82.5</v>
      </c>
      <c r="N57" s="16">
        <f t="shared" si="2"/>
        <v>82.5</v>
      </c>
      <c r="O57" s="16">
        <f t="shared" si="2"/>
        <v>82.5</v>
      </c>
      <c r="T57" s="29">
        <f>'System Parameters'!E8</f>
        <v>0</v>
      </c>
      <c r="U57" s="29">
        <f>'System Parameters'!F8</f>
        <v>0.95</v>
      </c>
      <c r="V57" s="29">
        <f>'System Parameters'!G8</f>
        <v>0.95</v>
      </c>
      <c r="W57" s="22" t="str">
        <f>'System Parameters'!H8</f>
        <v/>
      </c>
    </row>
    <row r="58">
      <c r="A58" s="22" t="str">
        <f>'System Parameters'!A9</f>
        <v>Sleep</v>
      </c>
      <c r="B58" s="16">
        <f>'System Parameters'!B9</f>
        <v>0.15</v>
      </c>
      <c r="C58" s="22" t="str">
        <f>'System Parameters'!C9</f>
        <v>mW</v>
      </c>
      <c r="D58" s="16">
        <f t="shared" si="3"/>
        <v>0.15</v>
      </c>
      <c r="E58" s="16">
        <f t="shared" ref="E58:E76" si="5">$B58</f>
        <v>0.15</v>
      </c>
      <c r="F58" s="22">
        <f>$B58*0.9</f>
        <v>0.135</v>
      </c>
      <c r="G58" s="16">
        <f t="shared" ref="G58:O58" si="4">$B58</f>
        <v>0.15</v>
      </c>
      <c r="H58" s="16">
        <f t="shared" si="4"/>
        <v>0.15</v>
      </c>
      <c r="I58" s="16">
        <f t="shared" si="4"/>
        <v>0.15</v>
      </c>
      <c r="J58" s="16">
        <f t="shared" si="4"/>
        <v>0.15</v>
      </c>
      <c r="K58" s="16">
        <f t="shared" si="4"/>
        <v>0.15</v>
      </c>
      <c r="L58" s="16">
        <f t="shared" si="4"/>
        <v>0.15</v>
      </c>
      <c r="M58" s="16">
        <f t="shared" si="4"/>
        <v>0.15</v>
      </c>
      <c r="N58" s="16">
        <f t="shared" si="4"/>
        <v>0.15</v>
      </c>
      <c r="O58" s="16">
        <f t="shared" si="4"/>
        <v>0.15</v>
      </c>
      <c r="T58" s="29">
        <f>'System Parameters'!E9</f>
        <v>1</v>
      </c>
      <c r="U58" s="29">
        <f>'System Parameters'!F9</f>
        <v>0</v>
      </c>
      <c r="V58" s="29">
        <f>'System Parameters'!G9</f>
        <v>0</v>
      </c>
      <c r="W58" s="22" t="str">
        <f>'System Parameters'!H9</f>
        <v/>
      </c>
    </row>
    <row r="59">
      <c r="A59" s="22" t="str">
        <f>'System Parameters'!A10</f>
        <v/>
      </c>
      <c r="B59" s="22" t="str">
        <f>'System Parameters'!B10</f>
        <v/>
      </c>
      <c r="C59" s="22" t="str">
        <f>'System Parameters'!C10</f>
        <v/>
      </c>
      <c r="D59" s="22" t="str">
        <f t="shared" si="3"/>
        <v/>
      </c>
      <c r="E59" s="22" t="str">
        <f t="shared" si="5"/>
        <v/>
      </c>
      <c r="F59" s="22" t="str">
        <f t="shared" ref="F59:O59" si="6">$B59</f>
        <v/>
      </c>
      <c r="G59" s="22" t="str">
        <f t="shared" si="6"/>
        <v/>
      </c>
      <c r="H59" s="22" t="str">
        <f t="shared" si="6"/>
        <v/>
      </c>
      <c r="I59" s="22" t="str">
        <f t="shared" si="6"/>
        <v/>
      </c>
      <c r="J59" s="22" t="str">
        <f t="shared" si="6"/>
        <v/>
      </c>
      <c r="K59" s="22" t="str">
        <f t="shared" si="6"/>
        <v/>
      </c>
      <c r="L59" s="22" t="str">
        <f t="shared" si="6"/>
        <v/>
      </c>
      <c r="M59" s="22" t="str">
        <f t="shared" si="6"/>
        <v/>
      </c>
      <c r="N59" s="22" t="str">
        <f t="shared" si="6"/>
        <v/>
      </c>
      <c r="O59" s="22" t="str">
        <f t="shared" si="6"/>
        <v/>
      </c>
      <c r="T59" s="22" t="str">
        <f>'System Parameters'!E10</f>
        <v/>
      </c>
      <c r="U59" s="22" t="str">
        <f>'System Parameters'!F10</f>
        <v/>
      </c>
      <c r="V59" s="22" t="str">
        <f>'System Parameters'!G10</f>
        <v/>
      </c>
      <c r="W59" s="22" t="str">
        <f>'System Parameters'!H10</f>
        <v/>
      </c>
    </row>
    <row r="60">
      <c r="A60" s="28" t="str">
        <f>'System Parameters'!A11</f>
        <v>LED(NeoPixel - WS2812B)</v>
      </c>
      <c r="B60" s="22" t="str">
        <f>'System Parameters'!B11</f>
        <v/>
      </c>
      <c r="C60" s="22" t="str">
        <f>'System Parameters'!C11</f>
        <v/>
      </c>
      <c r="D60" s="22" t="str">
        <f t="shared" si="3"/>
        <v/>
      </c>
      <c r="E60" s="22" t="str">
        <f t="shared" si="5"/>
        <v/>
      </c>
      <c r="F60" s="22" t="str">
        <f t="shared" ref="F60:O60" si="7">$B60</f>
        <v/>
      </c>
      <c r="G60" s="22" t="str">
        <f t="shared" si="7"/>
        <v/>
      </c>
      <c r="H60" s="22" t="str">
        <f t="shared" si="7"/>
        <v/>
      </c>
      <c r="I60" s="22" t="str">
        <f t="shared" si="7"/>
        <v/>
      </c>
      <c r="J60" s="22" t="str">
        <f t="shared" si="7"/>
        <v/>
      </c>
      <c r="K60" s="22" t="str">
        <f t="shared" si="7"/>
        <v/>
      </c>
      <c r="L60" s="22" t="str">
        <f t="shared" si="7"/>
        <v/>
      </c>
      <c r="M60" s="22" t="str">
        <f t="shared" si="7"/>
        <v/>
      </c>
      <c r="N60" s="22" t="str">
        <f t="shared" si="7"/>
        <v/>
      </c>
      <c r="O60" s="22" t="str">
        <f t="shared" si="7"/>
        <v/>
      </c>
      <c r="T60" s="22" t="str">
        <f>'System Parameters'!E11</f>
        <v/>
      </c>
      <c r="U60" s="22" t="str">
        <f>'System Parameters'!F11</f>
        <v/>
      </c>
      <c r="V60" s="22" t="str">
        <f>'System Parameters'!G11</f>
        <v/>
      </c>
      <c r="W60" s="22" t="str">
        <f>'System Parameters'!H11</f>
        <v/>
      </c>
    </row>
    <row r="61">
      <c r="A61" s="22" t="str">
        <f>'System Parameters'!A12</f>
        <v>On</v>
      </c>
      <c r="B61" s="16">
        <f>'System Parameters'!B12</f>
        <v>66</v>
      </c>
      <c r="C61" s="22" t="str">
        <f>'System Parameters'!C12</f>
        <v>mW</v>
      </c>
      <c r="D61" s="16">
        <f t="shared" si="3"/>
        <v>66</v>
      </c>
      <c r="E61" s="16">
        <f t="shared" si="5"/>
        <v>66</v>
      </c>
      <c r="F61" s="16">
        <f t="shared" ref="F61:F76" si="9">$B61</f>
        <v>66</v>
      </c>
      <c r="G61" s="22">
        <f>$B61*0.9</f>
        <v>59.4</v>
      </c>
      <c r="H61" s="16">
        <f t="shared" ref="H61:O61" si="8">$B61</f>
        <v>66</v>
      </c>
      <c r="I61" s="16">
        <f t="shared" si="8"/>
        <v>66</v>
      </c>
      <c r="J61" s="16">
        <f t="shared" si="8"/>
        <v>66</v>
      </c>
      <c r="K61" s="16">
        <f t="shared" si="8"/>
        <v>66</v>
      </c>
      <c r="L61" s="16">
        <f t="shared" si="8"/>
        <v>66</v>
      </c>
      <c r="M61" s="16">
        <f t="shared" si="8"/>
        <v>66</v>
      </c>
      <c r="N61" s="16">
        <f t="shared" si="8"/>
        <v>66</v>
      </c>
      <c r="O61" s="16">
        <f t="shared" si="8"/>
        <v>66</v>
      </c>
      <c r="T61" s="29">
        <f>'System Parameters'!E12</f>
        <v>0</v>
      </c>
      <c r="U61" s="29">
        <f>'System Parameters'!F12</f>
        <v>0</v>
      </c>
      <c r="V61" s="29">
        <f>'System Parameters'!G12</f>
        <v>0.2</v>
      </c>
      <c r="W61" s="22" t="str">
        <f>'System Parameters'!H12</f>
        <v/>
      </c>
    </row>
    <row r="62">
      <c r="A62" s="22" t="str">
        <f>'System Parameters'!A13</f>
        <v/>
      </c>
      <c r="B62" s="16" t="str">
        <f>'System Parameters'!B13</f>
        <v/>
      </c>
      <c r="C62" s="22" t="str">
        <f>'System Parameters'!C13</f>
        <v/>
      </c>
      <c r="D62" s="16" t="str">
        <f t="shared" si="3"/>
        <v/>
      </c>
      <c r="E62" s="16" t="str">
        <f t="shared" si="5"/>
        <v/>
      </c>
      <c r="F62" s="16" t="str">
        <f t="shared" si="9"/>
        <v/>
      </c>
      <c r="G62" s="16" t="str">
        <f t="shared" ref="G62:O62" si="10">$B62</f>
        <v/>
      </c>
      <c r="H62" s="16" t="str">
        <f t="shared" si="10"/>
        <v/>
      </c>
      <c r="I62" s="16" t="str">
        <f t="shared" si="10"/>
        <v/>
      </c>
      <c r="J62" s="16" t="str">
        <f t="shared" si="10"/>
        <v/>
      </c>
      <c r="K62" s="16" t="str">
        <f t="shared" si="10"/>
        <v/>
      </c>
      <c r="L62" s="16" t="str">
        <f t="shared" si="10"/>
        <v/>
      </c>
      <c r="M62" s="16" t="str">
        <f t="shared" si="10"/>
        <v/>
      </c>
      <c r="N62" s="16" t="str">
        <f t="shared" si="10"/>
        <v/>
      </c>
      <c r="O62" s="16" t="str">
        <f t="shared" si="10"/>
        <v/>
      </c>
      <c r="T62" s="22" t="str">
        <f>'System Parameters'!E13</f>
        <v/>
      </c>
      <c r="U62" s="22" t="str">
        <f>'System Parameters'!F13</f>
        <v/>
      </c>
      <c r="V62" s="22" t="str">
        <f>'System Parameters'!G13</f>
        <v/>
      </c>
      <c r="W62" s="22" t="str">
        <f>'System Parameters'!H13</f>
        <v/>
      </c>
    </row>
    <row r="63">
      <c r="A63" s="28" t="str">
        <f>'System Parameters'!A14</f>
        <v>Sensor</v>
      </c>
      <c r="B63" s="16" t="str">
        <f>'System Parameters'!B14</f>
        <v/>
      </c>
      <c r="C63" s="22" t="str">
        <f>'System Parameters'!C14</f>
        <v/>
      </c>
      <c r="D63" s="16" t="str">
        <f t="shared" si="3"/>
        <v/>
      </c>
      <c r="E63" s="16" t="str">
        <f t="shared" si="5"/>
        <v/>
      </c>
      <c r="F63" s="16" t="str">
        <f t="shared" si="9"/>
        <v/>
      </c>
      <c r="G63" s="16" t="str">
        <f t="shared" ref="G63:O63" si="11">$B63</f>
        <v/>
      </c>
      <c r="H63" s="16" t="str">
        <f t="shared" si="11"/>
        <v/>
      </c>
      <c r="I63" s="16" t="str">
        <f t="shared" si="11"/>
        <v/>
      </c>
      <c r="J63" s="16" t="str">
        <f t="shared" si="11"/>
        <v/>
      </c>
      <c r="K63" s="16" t="str">
        <f t="shared" si="11"/>
        <v/>
      </c>
      <c r="L63" s="16" t="str">
        <f t="shared" si="11"/>
        <v/>
      </c>
      <c r="M63" s="16" t="str">
        <f t="shared" si="11"/>
        <v/>
      </c>
      <c r="N63" s="16" t="str">
        <f t="shared" si="11"/>
        <v/>
      </c>
      <c r="O63" s="16" t="str">
        <f t="shared" si="11"/>
        <v/>
      </c>
      <c r="T63" s="22" t="str">
        <f>'System Parameters'!E14</f>
        <v/>
      </c>
      <c r="U63" s="22" t="str">
        <f>'System Parameters'!F14</f>
        <v/>
      </c>
      <c r="V63" s="22" t="str">
        <f>'System Parameters'!G14</f>
        <v/>
      </c>
      <c r="W63" s="22" t="str">
        <f>'System Parameters'!H14</f>
        <v/>
      </c>
    </row>
    <row r="64">
      <c r="A64" s="28" t="str">
        <f>'System Parameters'!A19</f>
        <v>Motor (X27)</v>
      </c>
      <c r="B64" s="16" t="str">
        <f>'System Parameters'!B19</f>
        <v/>
      </c>
      <c r="C64" s="22" t="str">
        <f>'System Parameters'!C19</f>
        <v/>
      </c>
      <c r="D64" s="16" t="str">
        <f t="shared" si="3"/>
        <v/>
      </c>
      <c r="E64" s="16" t="str">
        <f t="shared" si="5"/>
        <v/>
      </c>
      <c r="F64" s="16" t="str">
        <f t="shared" si="9"/>
        <v/>
      </c>
      <c r="G64" s="16" t="str">
        <f t="shared" ref="G64:O64" si="12">$B64</f>
        <v/>
      </c>
      <c r="H64" s="16" t="str">
        <f t="shared" si="12"/>
        <v/>
      </c>
      <c r="I64" s="16" t="str">
        <f t="shared" si="12"/>
        <v/>
      </c>
      <c r="J64" s="16" t="str">
        <f t="shared" si="12"/>
        <v/>
      </c>
      <c r="K64" s="16" t="str">
        <f t="shared" si="12"/>
        <v/>
      </c>
      <c r="L64" s="16" t="str">
        <f t="shared" si="12"/>
        <v/>
      </c>
      <c r="M64" s="16" t="str">
        <f t="shared" si="12"/>
        <v/>
      </c>
      <c r="N64" s="16" t="str">
        <f t="shared" si="12"/>
        <v/>
      </c>
      <c r="O64" s="16" t="str">
        <f t="shared" si="12"/>
        <v/>
      </c>
      <c r="T64" s="22" t="str">
        <f>'System Parameters'!E19</f>
        <v/>
      </c>
      <c r="U64" s="22" t="str">
        <f>'System Parameters'!F19</f>
        <v/>
      </c>
      <c r="V64" s="22" t="str">
        <f>'System Parameters'!G19</f>
        <v/>
      </c>
      <c r="W64" s="22" t="str">
        <f>'System Parameters'!H19</f>
        <v/>
      </c>
    </row>
    <row r="65">
      <c r="A65" s="22" t="str">
        <f>'System Parameters'!A20</f>
        <v>On</v>
      </c>
      <c r="B65" s="16">
        <f>'System Parameters'!B20</f>
        <v>192</v>
      </c>
      <c r="C65" s="22" t="str">
        <f>'System Parameters'!C20</f>
        <v>mW</v>
      </c>
      <c r="D65" s="16">
        <f t="shared" si="3"/>
        <v>192</v>
      </c>
      <c r="E65" s="16">
        <f t="shared" si="5"/>
        <v>192</v>
      </c>
      <c r="F65" s="16">
        <f t="shared" si="9"/>
        <v>192</v>
      </c>
      <c r="G65" s="16">
        <f t="shared" ref="G65:G76" si="14">$B65</f>
        <v>192</v>
      </c>
      <c r="H65" s="22">
        <f>$B65*0.9</f>
        <v>172.8</v>
      </c>
      <c r="I65" s="16">
        <f t="shared" ref="I65:O65" si="13">$B65</f>
        <v>192</v>
      </c>
      <c r="J65" s="16">
        <f t="shared" si="13"/>
        <v>192</v>
      </c>
      <c r="K65" s="16">
        <f t="shared" si="13"/>
        <v>192</v>
      </c>
      <c r="L65" s="16">
        <f t="shared" si="13"/>
        <v>192</v>
      </c>
      <c r="M65" s="16">
        <f t="shared" si="13"/>
        <v>192</v>
      </c>
      <c r="N65" s="16">
        <f t="shared" si="13"/>
        <v>192</v>
      </c>
      <c r="O65" s="16">
        <f t="shared" si="13"/>
        <v>192</v>
      </c>
      <c r="T65" s="29">
        <f>'System Parameters'!E20</f>
        <v>0</v>
      </c>
      <c r="U65" s="29">
        <f>'System Parameters'!F20</f>
        <v>0</v>
      </c>
      <c r="V65" s="29">
        <f>'System Parameters'!G20</f>
        <v>0.05</v>
      </c>
      <c r="W65" s="22" t="str">
        <f>'System Parameters'!H20</f>
        <v/>
      </c>
    </row>
    <row r="66">
      <c r="A66" s="22" t="str">
        <f>'System Parameters'!A21</f>
        <v>Idle</v>
      </c>
      <c r="B66" s="16">
        <f>'System Parameters'!B21</f>
        <v>0</v>
      </c>
      <c r="C66" s="22" t="str">
        <f>'System Parameters'!C21</f>
        <v>mW</v>
      </c>
      <c r="D66" s="16">
        <f t="shared" si="3"/>
        <v>0</v>
      </c>
      <c r="E66" s="16">
        <f t="shared" si="5"/>
        <v>0</v>
      </c>
      <c r="F66" s="16">
        <f t="shared" si="9"/>
        <v>0</v>
      </c>
      <c r="G66" s="16">
        <f t="shared" si="14"/>
        <v>0</v>
      </c>
      <c r="H66" s="16">
        <f t="shared" ref="H66:H76" si="16">$B66</f>
        <v>0</v>
      </c>
      <c r="I66" s="22">
        <f>$B66*0.9</f>
        <v>0</v>
      </c>
      <c r="J66" s="16">
        <f t="shared" ref="J66:O66" si="15">$B66</f>
        <v>0</v>
      </c>
      <c r="K66" s="16">
        <f t="shared" si="15"/>
        <v>0</v>
      </c>
      <c r="L66" s="16">
        <f t="shared" si="15"/>
        <v>0</v>
      </c>
      <c r="M66" s="16">
        <f t="shared" si="15"/>
        <v>0</v>
      </c>
      <c r="N66" s="16">
        <f t="shared" si="15"/>
        <v>0</v>
      </c>
      <c r="O66" s="16">
        <f t="shared" si="15"/>
        <v>0</v>
      </c>
      <c r="T66" s="29">
        <f>'System Parameters'!E21</f>
        <v>0</v>
      </c>
      <c r="U66" s="29">
        <f>'System Parameters'!F21</f>
        <v>0</v>
      </c>
      <c r="V66" s="29">
        <f>'System Parameters'!G21</f>
        <v>0</v>
      </c>
      <c r="W66" s="22" t="str">
        <f>'System Parameters'!H21</f>
        <v/>
      </c>
    </row>
    <row r="67">
      <c r="A67" s="22" t="str">
        <f>'System Parameters'!A22</f>
        <v>Off</v>
      </c>
      <c r="B67" s="16">
        <f>'System Parameters'!B22</f>
        <v>0</v>
      </c>
      <c r="C67" s="22" t="str">
        <f>'System Parameters'!C22</f>
        <v>mW</v>
      </c>
      <c r="D67" s="16">
        <f t="shared" si="3"/>
        <v>0</v>
      </c>
      <c r="E67" s="16">
        <f t="shared" si="5"/>
        <v>0</v>
      </c>
      <c r="F67" s="16">
        <f t="shared" si="9"/>
        <v>0</v>
      </c>
      <c r="G67" s="16">
        <f t="shared" si="14"/>
        <v>0</v>
      </c>
      <c r="H67" s="16">
        <f t="shared" si="16"/>
        <v>0</v>
      </c>
      <c r="I67" s="16">
        <f t="shared" ref="I67:I76" si="18">$B67</f>
        <v>0</v>
      </c>
      <c r="J67" s="22">
        <f>$B67*0.9</f>
        <v>0</v>
      </c>
      <c r="K67" s="16">
        <f t="shared" ref="K67:O67" si="17">$B67</f>
        <v>0</v>
      </c>
      <c r="L67" s="16">
        <f t="shared" si="17"/>
        <v>0</v>
      </c>
      <c r="M67" s="16">
        <f t="shared" si="17"/>
        <v>0</v>
      </c>
      <c r="N67" s="16">
        <f t="shared" si="17"/>
        <v>0</v>
      </c>
      <c r="O67" s="16">
        <f t="shared" si="17"/>
        <v>0</v>
      </c>
      <c r="T67" s="29">
        <f>'System Parameters'!E22</f>
        <v>1</v>
      </c>
      <c r="U67" s="29">
        <f>'System Parameters'!F22</f>
        <v>1</v>
      </c>
      <c r="V67" s="29">
        <f>'System Parameters'!G22</f>
        <v>0.95</v>
      </c>
      <c r="W67" s="22" t="str">
        <f>'System Parameters'!H22</f>
        <v/>
      </c>
    </row>
    <row r="68">
      <c r="A68" s="22" t="str">
        <f>'System Parameters'!A23</f>
        <v/>
      </c>
      <c r="B68" s="16" t="str">
        <f>'System Parameters'!B23</f>
        <v/>
      </c>
      <c r="C68" s="22" t="str">
        <f>'System Parameters'!C23</f>
        <v/>
      </c>
      <c r="D68" s="16" t="str">
        <f t="shared" si="3"/>
        <v/>
      </c>
      <c r="E68" s="16" t="str">
        <f t="shared" si="5"/>
        <v/>
      </c>
      <c r="F68" s="16" t="str">
        <f t="shared" si="9"/>
        <v/>
      </c>
      <c r="G68" s="16" t="str">
        <f t="shared" si="14"/>
        <v/>
      </c>
      <c r="H68" s="16" t="str">
        <f t="shared" si="16"/>
        <v/>
      </c>
      <c r="I68" s="16" t="str">
        <f t="shared" si="18"/>
        <v/>
      </c>
      <c r="J68" s="16" t="str">
        <f t="shared" ref="J68:O68" si="19">$B68</f>
        <v/>
      </c>
      <c r="K68" s="16" t="str">
        <f t="shared" si="19"/>
        <v/>
      </c>
      <c r="L68" s="16" t="str">
        <f t="shared" si="19"/>
        <v/>
      </c>
      <c r="M68" s="16" t="str">
        <f t="shared" si="19"/>
        <v/>
      </c>
      <c r="N68" s="16" t="str">
        <f t="shared" si="19"/>
        <v/>
      </c>
      <c r="O68" s="16" t="str">
        <f t="shared" si="19"/>
        <v/>
      </c>
      <c r="T68" s="22" t="str">
        <f>'System Parameters'!E23</f>
        <v/>
      </c>
      <c r="U68" s="22" t="str">
        <f>'System Parameters'!F23</f>
        <v/>
      </c>
      <c r="V68" s="22" t="str">
        <f>'System Parameters'!G23</f>
        <v/>
      </c>
      <c r="W68" s="22" t="str">
        <f>'System Parameters'!H23</f>
        <v/>
      </c>
    </row>
    <row r="69">
      <c r="A69" s="28" t="str">
        <f>'System Parameters'!A24</f>
        <v>Display(SSD1306)</v>
      </c>
      <c r="B69" s="16" t="str">
        <f>'System Parameters'!B24</f>
        <v/>
      </c>
      <c r="C69" s="22" t="str">
        <f>'System Parameters'!C24</f>
        <v/>
      </c>
      <c r="D69" s="16" t="str">
        <f t="shared" si="3"/>
        <v/>
      </c>
      <c r="E69" s="16" t="str">
        <f t="shared" si="5"/>
        <v/>
      </c>
      <c r="F69" s="16" t="str">
        <f t="shared" si="9"/>
        <v/>
      </c>
      <c r="G69" s="16" t="str">
        <f t="shared" si="14"/>
        <v/>
      </c>
      <c r="H69" s="16" t="str">
        <f t="shared" si="16"/>
        <v/>
      </c>
      <c r="I69" s="16" t="str">
        <f t="shared" si="18"/>
        <v/>
      </c>
      <c r="J69" s="16" t="str">
        <f t="shared" ref="J69:O69" si="20">$B69</f>
        <v/>
      </c>
      <c r="K69" s="16" t="str">
        <f t="shared" si="20"/>
        <v/>
      </c>
      <c r="L69" s="16" t="str">
        <f t="shared" si="20"/>
        <v/>
      </c>
      <c r="M69" s="16" t="str">
        <f t="shared" si="20"/>
        <v/>
      </c>
      <c r="N69" s="16" t="str">
        <f t="shared" si="20"/>
        <v/>
      </c>
      <c r="O69" s="16" t="str">
        <f t="shared" si="20"/>
        <v/>
      </c>
      <c r="T69" s="22" t="str">
        <f>'System Parameters'!E24</f>
        <v/>
      </c>
      <c r="U69" s="22" t="str">
        <f>'System Parameters'!F24</f>
        <v/>
      </c>
      <c r="V69" s="22" t="str">
        <f>'System Parameters'!G24</f>
        <v/>
      </c>
      <c r="W69" s="22" t="str">
        <f>'System Parameters'!H24</f>
        <v/>
      </c>
    </row>
    <row r="70">
      <c r="A70" s="22" t="str">
        <f>'System Parameters'!A25</f>
        <v>On</v>
      </c>
      <c r="B70" s="16">
        <f>'System Parameters'!B25</f>
        <v>66</v>
      </c>
      <c r="C70" s="22" t="str">
        <f>'System Parameters'!C25</f>
        <v>mW</v>
      </c>
      <c r="D70" s="16">
        <f t="shared" si="3"/>
        <v>66</v>
      </c>
      <c r="E70" s="16">
        <f t="shared" si="5"/>
        <v>66</v>
      </c>
      <c r="F70" s="16">
        <f t="shared" si="9"/>
        <v>66</v>
      </c>
      <c r="G70" s="16">
        <f t="shared" si="14"/>
        <v>66</v>
      </c>
      <c r="H70" s="16">
        <f t="shared" si="16"/>
        <v>66</v>
      </c>
      <c r="I70" s="16">
        <f t="shared" si="18"/>
        <v>66</v>
      </c>
      <c r="J70" s="16">
        <f t="shared" ref="J70:J76" si="22">$B70</f>
        <v>66</v>
      </c>
      <c r="K70" s="22">
        <f>$B70*0.9</f>
        <v>59.4</v>
      </c>
      <c r="L70" s="16">
        <f t="shared" ref="L70:O70" si="21">$B70</f>
        <v>66</v>
      </c>
      <c r="M70" s="16">
        <f t="shared" si="21"/>
        <v>66</v>
      </c>
      <c r="N70" s="16">
        <f t="shared" si="21"/>
        <v>66</v>
      </c>
      <c r="O70" s="16">
        <f t="shared" si="21"/>
        <v>66</v>
      </c>
      <c r="T70" s="29">
        <f>'System Parameters'!E25</f>
        <v>0</v>
      </c>
      <c r="U70" s="29">
        <f>'System Parameters'!F25</f>
        <v>0</v>
      </c>
      <c r="V70" s="29">
        <f>'System Parameters'!G25</f>
        <v>1</v>
      </c>
      <c r="W70" s="22" t="str">
        <f>'System Parameters'!H25</f>
        <v/>
      </c>
    </row>
    <row r="71">
      <c r="A71" s="22" t="str">
        <f>'System Parameters'!A26</f>
        <v>Off (leakage)</v>
      </c>
      <c r="B71" s="16">
        <f>'System Parameters'!B26</f>
        <v>0.03</v>
      </c>
      <c r="C71" s="22" t="str">
        <f>'System Parameters'!C26</f>
        <v>mW</v>
      </c>
      <c r="D71" s="16">
        <f t="shared" si="3"/>
        <v>0.03</v>
      </c>
      <c r="E71" s="16">
        <f t="shared" si="5"/>
        <v>0.03</v>
      </c>
      <c r="F71" s="16">
        <f t="shared" si="9"/>
        <v>0.03</v>
      </c>
      <c r="G71" s="16">
        <f t="shared" si="14"/>
        <v>0.03</v>
      </c>
      <c r="H71" s="16">
        <f t="shared" si="16"/>
        <v>0.03</v>
      </c>
      <c r="I71" s="16">
        <f t="shared" si="18"/>
        <v>0.03</v>
      </c>
      <c r="J71" s="16">
        <f t="shared" si="22"/>
        <v>0.03</v>
      </c>
      <c r="K71" s="16">
        <f t="shared" ref="K71:K76" si="24">$B71</f>
        <v>0.03</v>
      </c>
      <c r="L71" s="22">
        <f>$B71*0.9</f>
        <v>0.027</v>
      </c>
      <c r="M71" s="16">
        <f t="shared" ref="M71:O71" si="23">$B71</f>
        <v>0.03</v>
      </c>
      <c r="N71" s="16">
        <f t="shared" si="23"/>
        <v>0.03</v>
      </c>
      <c r="O71" s="16">
        <f t="shared" si="23"/>
        <v>0.03</v>
      </c>
      <c r="T71" s="29">
        <f>'System Parameters'!E26</f>
        <v>1</v>
      </c>
      <c r="U71" s="29">
        <f>'System Parameters'!F26</f>
        <v>1</v>
      </c>
      <c r="V71" s="29">
        <f>'System Parameters'!G26</f>
        <v>0</v>
      </c>
      <c r="W71" s="22" t="str">
        <f>'System Parameters'!H26</f>
        <v/>
      </c>
    </row>
    <row r="72">
      <c r="A72" s="22" t="str">
        <f>'System Parameters'!A27</f>
        <v/>
      </c>
      <c r="B72" s="22" t="str">
        <f>'System Parameters'!B27</f>
        <v/>
      </c>
      <c r="C72" s="22" t="str">
        <f>'System Parameters'!C27</f>
        <v/>
      </c>
      <c r="D72" s="22" t="str">
        <f t="shared" si="3"/>
        <v/>
      </c>
      <c r="E72" s="22" t="str">
        <f t="shared" si="5"/>
        <v/>
      </c>
      <c r="F72" s="22" t="str">
        <f t="shared" si="9"/>
        <v/>
      </c>
      <c r="G72" s="22" t="str">
        <f t="shared" si="14"/>
        <v/>
      </c>
      <c r="H72" s="22" t="str">
        <f t="shared" si="16"/>
        <v/>
      </c>
      <c r="I72" s="22" t="str">
        <f t="shared" si="18"/>
        <v/>
      </c>
      <c r="J72" s="22" t="str">
        <f t="shared" si="22"/>
        <v/>
      </c>
      <c r="K72" s="22" t="str">
        <f t="shared" si="24"/>
        <v/>
      </c>
      <c r="L72" s="22" t="str">
        <f t="shared" ref="L72:O72" si="25">$B72</f>
        <v/>
      </c>
      <c r="M72" s="22" t="str">
        <f t="shared" si="25"/>
        <v/>
      </c>
      <c r="N72" s="22" t="str">
        <f t="shared" si="25"/>
        <v/>
      </c>
      <c r="O72" s="22" t="str">
        <f t="shared" si="25"/>
        <v/>
      </c>
      <c r="T72" s="22" t="str">
        <f>'System Parameters'!E27</f>
        <v/>
      </c>
      <c r="U72" s="22" t="str">
        <f>'System Parameters'!F27</f>
        <v/>
      </c>
      <c r="V72" s="22" t="str">
        <f>'System Parameters'!G27</f>
        <v/>
      </c>
      <c r="W72" s="22" t="str">
        <f>'System Parameters'!H27</f>
        <v/>
      </c>
    </row>
    <row r="73">
      <c r="A73" s="28" t="str">
        <f>'System Parameters'!A28</f>
        <v>Radio</v>
      </c>
      <c r="B73" s="22" t="str">
        <f>'System Parameters'!B28</f>
        <v/>
      </c>
      <c r="C73" s="22" t="str">
        <f>'System Parameters'!C28</f>
        <v/>
      </c>
      <c r="D73" s="22" t="str">
        <f t="shared" si="3"/>
        <v/>
      </c>
      <c r="E73" s="22" t="str">
        <f t="shared" si="5"/>
        <v/>
      </c>
      <c r="F73" s="22" t="str">
        <f t="shared" si="9"/>
        <v/>
      </c>
      <c r="G73" s="22" t="str">
        <f t="shared" si="14"/>
        <v/>
      </c>
      <c r="H73" s="22" t="str">
        <f t="shared" si="16"/>
        <v/>
      </c>
      <c r="I73" s="22" t="str">
        <f t="shared" si="18"/>
        <v/>
      </c>
      <c r="J73" s="22" t="str">
        <f t="shared" si="22"/>
        <v/>
      </c>
      <c r="K73" s="22" t="str">
        <f t="shared" si="24"/>
        <v/>
      </c>
      <c r="L73" s="22" t="str">
        <f t="shared" ref="L73:O73" si="26">$B73</f>
        <v/>
      </c>
      <c r="M73" s="22" t="str">
        <f t="shared" si="26"/>
        <v/>
      </c>
      <c r="N73" s="22" t="str">
        <f t="shared" si="26"/>
        <v/>
      </c>
      <c r="O73" s="22" t="str">
        <f t="shared" si="26"/>
        <v/>
      </c>
      <c r="T73" s="22" t="str">
        <f>'System Parameters'!E28</f>
        <v/>
      </c>
      <c r="U73" s="22" t="str">
        <f>'System Parameters'!F28</f>
        <v/>
      </c>
      <c r="V73" s="22" t="str">
        <f>'System Parameters'!G28</f>
        <v/>
      </c>
      <c r="W73" s="22" t="str">
        <f>'System Parameters'!H28</f>
        <v/>
      </c>
    </row>
    <row r="74">
      <c r="A74" s="22" t="str">
        <f>'System Parameters'!A30</f>
        <v>Standby Power</v>
      </c>
      <c r="B74" s="16">
        <f>'System Parameters'!B30</f>
        <v>83</v>
      </c>
      <c r="C74" s="22" t="str">
        <f>'System Parameters'!C30</f>
        <v>mW</v>
      </c>
      <c r="D74" s="16">
        <f t="shared" si="3"/>
        <v>83</v>
      </c>
      <c r="E74" s="16">
        <f t="shared" si="5"/>
        <v>83</v>
      </c>
      <c r="F74" s="16">
        <f t="shared" si="9"/>
        <v>83</v>
      </c>
      <c r="G74" s="16">
        <f t="shared" si="14"/>
        <v>83</v>
      </c>
      <c r="H74" s="16">
        <f t="shared" si="16"/>
        <v>83</v>
      </c>
      <c r="I74" s="16">
        <f t="shared" si="18"/>
        <v>83</v>
      </c>
      <c r="J74" s="16">
        <f t="shared" si="22"/>
        <v>83</v>
      </c>
      <c r="K74" s="16">
        <f t="shared" si="24"/>
        <v>83</v>
      </c>
      <c r="L74" s="16">
        <f t="shared" ref="L74:L76" si="28">$B74</f>
        <v>83</v>
      </c>
      <c r="M74" s="22">
        <f>$B74*0.9</f>
        <v>74.7</v>
      </c>
      <c r="N74" s="16">
        <f t="shared" ref="N74:O74" si="27">$B74</f>
        <v>83</v>
      </c>
      <c r="O74" s="16">
        <f t="shared" si="27"/>
        <v>83</v>
      </c>
      <c r="T74" s="29">
        <f>'System Parameters'!E30</f>
        <v>0</v>
      </c>
      <c r="U74" s="29">
        <f>'System Parameters'!F30</f>
        <v>0.95</v>
      </c>
      <c r="V74" s="29">
        <f>'System Parameters'!G30</f>
        <v>0.9</v>
      </c>
      <c r="W74" s="22" t="str">
        <f>'System Parameters'!H30</f>
        <v/>
      </c>
    </row>
    <row r="75">
      <c r="A75" s="22" t="str">
        <f>'System Parameters'!A31</f>
        <v>TX Power</v>
      </c>
      <c r="B75" s="16">
        <f>'System Parameters'!B31</f>
        <v>1105.5</v>
      </c>
      <c r="C75" s="22" t="str">
        <f>'System Parameters'!C31</f>
        <v>mW</v>
      </c>
      <c r="D75" s="16">
        <f t="shared" si="3"/>
        <v>1105.5</v>
      </c>
      <c r="E75" s="16">
        <f t="shared" si="5"/>
        <v>1105.5</v>
      </c>
      <c r="F75" s="16">
        <f t="shared" si="9"/>
        <v>1105.5</v>
      </c>
      <c r="G75" s="16">
        <f t="shared" si="14"/>
        <v>1105.5</v>
      </c>
      <c r="H75" s="16">
        <f t="shared" si="16"/>
        <v>1105.5</v>
      </c>
      <c r="I75" s="16">
        <f t="shared" si="18"/>
        <v>1105.5</v>
      </c>
      <c r="J75" s="16">
        <f t="shared" si="22"/>
        <v>1105.5</v>
      </c>
      <c r="K75" s="16">
        <f t="shared" si="24"/>
        <v>1105.5</v>
      </c>
      <c r="L75" s="16">
        <f t="shared" si="28"/>
        <v>1105.5</v>
      </c>
      <c r="M75" s="16">
        <f t="shared" ref="M75:M76" si="29">$B75</f>
        <v>1105.5</v>
      </c>
      <c r="N75" s="22">
        <f>$B75*0.9</f>
        <v>994.95</v>
      </c>
      <c r="O75" s="16">
        <f>$B75</f>
        <v>1105.5</v>
      </c>
      <c r="T75" s="29">
        <f>'System Parameters'!E31</f>
        <v>0</v>
      </c>
      <c r="U75" s="29">
        <f>'System Parameters'!F31</f>
        <v>0.05</v>
      </c>
      <c r="V75" s="29">
        <f>'System Parameters'!G31</f>
        <v>0</v>
      </c>
      <c r="W75" s="22" t="str">
        <f>'System Parameters'!H31</f>
        <v/>
      </c>
    </row>
    <row r="76">
      <c r="A76" s="22" t="str">
        <f>'System Parameters'!A32</f>
        <v>RX Power</v>
      </c>
      <c r="B76" s="16">
        <f>'System Parameters'!B32</f>
        <v>277.2</v>
      </c>
      <c r="C76" s="22" t="str">
        <f>'System Parameters'!C32</f>
        <v>mW</v>
      </c>
      <c r="D76" s="16">
        <f t="shared" si="3"/>
        <v>277.2</v>
      </c>
      <c r="E76" s="16">
        <f t="shared" si="5"/>
        <v>277.2</v>
      </c>
      <c r="F76" s="16">
        <f t="shared" si="9"/>
        <v>277.2</v>
      </c>
      <c r="G76" s="16">
        <f t="shared" si="14"/>
        <v>277.2</v>
      </c>
      <c r="H76" s="16">
        <f t="shared" si="16"/>
        <v>277.2</v>
      </c>
      <c r="I76" s="16">
        <f t="shared" si="18"/>
        <v>277.2</v>
      </c>
      <c r="J76" s="16">
        <f t="shared" si="22"/>
        <v>277.2</v>
      </c>
      <c r="K76" s="16">
        <f t="shared" si="24"/>
        <v>277.2</v>
      </c>
      <c r="L76" s="16">
        <f t="shared" si="28"/>
        <v>277.2</v>
      </c>
      <c r="M76" s="16">
        <f t="shared" si="29"/>
        <v>277.2</v>
      </c>
      <c r="N76" s="16">
        <f>$B76</f>
        <v>277.2</v>
      </c>
      <c r="O76" s="22">
        <f>$B76*0.9</f>
        <v>249.48</v>
      </c>
      <c r="T76" s="29">
        <f>'System Parameters'!E32</f>
        <v>0</v>
      </c>
      <c r="U76" s="29">
        <f>'System Parameters'!F32</f>
        <v>0</v>
      </c>
      <c r="V76" s="29">
        <f>'System Parameters'!G32</f>
        <v>0.1</v>
      </c>
      <c r="W76" s="22" t="str">
        <f>'System Parameters'!H32</f>
        <v/>
      </c>
    </row>
    <row r="77">
      <c r="A77" s="22" t="str">
        <f>'System Parameters'!A33</f>
        <v/>
      </c>
      <c r="B77" s="22" t="str">
        <f>'System Parameters'!B33</f>
        <v/>
      </c>
      <c r="C77" s="22" t="str">
        <f>'System Parameters'!C33</f>
        <v/>
      </c>
      <c r="D77" s="22" t="str">
        <f>'System Parameters'!D33</f>
        <v/>
      </c>
      <c r="T77" s="22" t="str">
        <f>'System Parameters'!E33</f>
        <v/>
      </c>
      <c r="U77" s="22" t="str">
        <f>'System Parameters'!F33</f>
        <v/>
      </c>
      <c r="V77" s="22" t="str">
        <f>'System Parameters'!G33</f>
        <v/>
      </c>
      <c r="W77" s="22" t="str">
        <f>'System Parameters'!H33</f>
        <v/>
      </c>
    </row>
    <row r="78">
      <c r="A78" s="22" t="str">
        <f>'System Parameters'!A34</f>
        <v/>
      </c>
      <c r="B78" s="22" t="str">
        <f>'System Parameters'!B34</f>
        <v/>
      </c>
      <c r="C78" s="22" t="str">
        <f>'System Parameters'!C34</f>
        <v/>
      </c>
      <c r="D78" s="22" t="str">
        <f>'System Parameters'!D34</f>
        <v/>
      </c>
      <c r="T78" s="22">
        <f>'System Parameters'!E34</f>
        <v>22</v>
      </c>
      <c r="U78" s="22">
        <f>'System Parameters'!F34</f>
        <v>2</v>
      </c>
      <c r="V78" s="22">
        <f>'System Parameters'!G34</f>
        <v>0</v>
      </c>
      <c r="W78" s="22" t="str">
        <f>'System Parameters'!H34</f>
        <v>hours/day typical usage</v>
      </c>
    </row>
    <row r="79">
      <c r="A79" s="28" t="str">
        <f>'System Parameters'!A35</f>
        <v>Battery</v>
      </c>
      <c r="B79" s="22" t="str">
        <f>'System Parameters'!B35</f>
        <v/>
      </c>
      <c r="C79" s="22" t="str">
        <f>'System Parameters'!C35</f>
        <v/>
      </c>
      <c r="D79" s="22" t="str">
        <f>'System Parameters'!D35</f>
        <v/>
      </c>
      <c r="T79" s="22" t="str">
        <f>'System Parameters'!E35</f>
        <v/>
      </c>
      <c r="U79" s="22" t="str">
        <f>'System Parameters'!F35</f>
        <v/>
      </c>
      <c r="V79" s="22" t="str">
        <f>'System Parameters'!G35</f>
        <v/>
      </c>
      <c r="W79" s="22" t="str">
        <f>'System Parameters'!H35</f>
        <v/>
      </c>
    </row>
    <row r="80">
      <c r="A80" s="22" t="str">
        <f>'System Parameters'!A36</f>
        <v>Capacity</v>
      </c>
      <c r="B80" s="16">
        <f>'System Parameters'!B36</f>
        <v>500</v>
      </c>
      <c r="C80" s="22" t="str">
        <f>'System Parameters'!C36</f>
        <v>mAh</v>
      </c>
      <c r="D80" s="22" t="str">
        <f>'System Parameters'!D36</f>
        <v/>
      </c>
      <c r="T80" s="22" t="str">
        <f>'System Parameters'!E36</f>
        <v/>
      </c>
      <c r="U80" s="22" t="str">
        <f>'System Parameters'!F36</f>
        <v/>
      </c>
      <c r="V80" s="22" t="str">
        <f>'System Parameters'!G36</f>
        <v/>
      </c>
      <c r="W80" s="22" t="str">
        <f>'System Parameters'!H36</f>
        <v/>
      </c>
    </row>
    <row r="81">
      <c r="A81" s="22" t="str">
        <f>'System Parameters'!A37</f>
        <v>Nominal Voltage</v>
      </c>
      <c r="B81" s="16">
        <f>'System Parameters'!B37</f>
        <v>3.7</v>
      </c>
      <c r="C81" s="22" t="str">
        <f>'System Parameters'!C37</f>
        <v>V</v>
      </c>
      <c r="D81" s="22" t="str">
        <f>'System Parameters'!D37</f>
        <v/>
      </c>
      <c r="T81" s="22" t="str">
        <f>'System Parameters'!E37</f>
        <v/>
      </c>
      <c r="U81" s="22" t="str">
        <f>'System Parameters'!F37</f>
        <v/>
      </c>
      <c r="V81" s="22" t="str">
        <f>'System Parameters'!G37</f>
        <v/>
      </c>
      <c r="W81" s="22" t="str">
        <f>'System Parameters'!H37</f>
        <v/>
      </c>
    </row>
    <row r="82">
      <c r="A82" s="22" t="str">
        <f>'System Parameters'!A38</f>
        <v>Regulator Efficiency</v>
      </c>
      <c r="B82" s="29">
        <f>'System Parameters'!B38</f>
        <v>0.99</v>
      </c>
      <c r="C82" s="22" t="str">
        <f>'System Parameters'!C38</f>
        <v/>
      </c>
      <c r="D82" s="22" t="str">
        <f>'System Parameters'!D38</f>
        <v/>
      </c>
      <c r="T82" s="22" t="str">
        <f>'System Parameters'!E38</f>
        <v/>
      </c>
      <c r="U82" s="22" t="str">
        <f>'System Parameters'!F38</f>
        <v/>
      </c>
      <c r="V82" s="22" t="str">
        <f>'System Parameters'!G38</f>
        <v/>
      </c>
      <c r="W82" s="22" t="str">
        <f>'System Parameters'!H38</f>
        <v/>
      </c>
    </row>
    <row r="83">
      <c r="A83" s="22" t="str">
        <f>'System Parameters'!A39</f>
        <v/>
      </c>
      <c r="B83" s="22" t="str">
        <f>'System Parameters'!B39</f>
        <v/>
      </c>
      <c r="C83" s="22" t="str">
        <f>'System Parameters'!C39</f>
        <v/>
      </c>
      <c r="D83" s="22" t="str">
        <f>'System Parameters'!D39</f>
        <v/>
      </c>
      <c r="O83" s="22" t="str">
        <f>'System Parameters'!E39</f>
        <v/>
      </c>
      <c r="P83" s="22" t="str">
        <f>'System Parameters'!F39</f>
        <v/>
      </c>
      <c r="Q83" s="22" t="str">
        <f>'System Parameters'!G39</f>
        <v/>
      </c>
      <c r="R83" s="22" t="str">
        <f>'System Parameters'!H39</f>
        <v/>
      </c>
      <c r="S83" s="22" t="str">
        <f>'System Parameters'!I39</f>
        <v/>
      </c>
      <c r="T83" s="22" t="str">
        <f>'System Parameters'!J39</f>
        <v/>
      </c>
      <c r="U83" s="22" t="str">
        <f t="shared" ref="U83:V83" si="30">#REF!</f>
        <v>#REF!</v>
      </c>
      <c r="V83" s="22" t="str">
        <f t="shared" si="30"/>
        <v>#REF!</v>
      </c>
    </row>
    <row r="84">
      <c r="A84" s="22" t="str">
        <f>'System Parameters'!A40</f>
        <v/>
      </c>
      <c r="B84" s="22" t="str">
        <f>'System Parameters'!B40</f>
        <v/>
      </c>
      <c r="C84" s="22" t="str">
        <f>'System Parameters'!C40</f>
        <v/>
      </c>
      <c r="D84" s="22" t="str">
        <f>'System Parameters'!D40</f>
        <v/>
      </c>
      <c r="O84" s="22" t="str">
        <f>'System Parameters'!E40</f>
        <v/>
      </c>
      <c r="P84" s="22" t="str">
        <f>'System Parameters'!F40</f>
        <v/>
      </c>
      <c r="Q84" s="22" t="str">
        <f>'System Parameters'!G40</f>
        <v/>
      </c>
      <c r="R84" s="22" t="str">
        <f>'System Parameters'!H40</f>
        <v/>
      </c>
      <c r="S84" s="22" t="str">
        <f>'System Parameters'!I40</f>
        <v/>
      </c>
      <c r="T84" s="22" t="str">
        <f>'System Parameters'!J40</f>
        <v/>
      </c>
      <c r="U84" s="22" t="str">
        <f t="shared" ref="U84:V84" si="31">#REF!</f>
        <v>#REF!</v>
      </c>
      <c r="V84" s="22" t="str">
        <f t="shared" si="31"/>
        <v>#REF!</v>
      </c>
    </row>
    <row r="85">
      <c r="A85" s="22" t="str">
        <f>'System Parameters'!A41</f>
        <v/>
      </c>
      <c r="B85" s="22" t="str">
        <f>'System Parameters'!K28</f>
        <v/>
      </c>
      <c r="C85" s="22" t="str">
        <f>'System Parameters'!L28</f>
        <v/>
      </c>
      <c r="D85" s="22" t="str">
        <f>'System Parameters'!M28</f>
        <v/>
      </c>
      <c r="O85" s="22" t="str">
        <f>'System Parameters'!N28</f>
        <v/>
      </c>
      <c r="P85" s="22" t="str">
        <f>'System Parameters'!O28</f>
        <v/>
      </c>
      <c r="Q85" s="22" t="str">
        <f>'System Parameters'!P28</f>
        <v/>
      </c>
      <c r="R85" s="22" t="str">
        <f>'System Parameters'!Q28</f>
        <v/>
      </c>
      <c r="S85" s="22" t="str">
        <f>'System Parameters'!I41</f>
        <v/>
      </c>
      <c r="T85" s="22" t="str">
        <f>'System Parameters'!J41</f>
        <v/>
      </c>
      <c r="U85" s="22" t="str">
        <f t="shared" ref="U85:V85" si="32">#REF!</f>
        <v>#REF!</v>
      </c>
      <c r="V85" s="22" t="str">
        <f t="shared" si="32"/>
        <v>#REF!</v>
      </c>
    </row>
    <row r="86">
      <c r="A86" s="22" t="str">
        <f>'System Parameters'!A42</f>
        <v>REFLECTIONS : WHAT DID YOU LEARN FROM ANALYZING YOUR POWER.  TALK ABOUT SOME POTENTIAL TRADEOFFS. </v>
      </c>
      <c r="B86" s="22" t="str">
        <f>'System Parameters'!K29</f>
        <v/>
      </c>
      <c r="C86" s="22" t="str">
        <f t="shared" ref="C86:D86" si="33">#REF!</f>
        <v>#REF!</v>
      </c>
      <c r="D86" s="22" t="str">
        <f t="shared" si="33"/>
        <v>#REF!</v>
      </c>
      <c r="O86" s="22" t="str">
        <f t="shared" ref="O86:Q86" si="34">#REF!</f>
        <v>#REF!</v>
      </c>
      <c r="P86" s="22" t="str">
        <f t="shared" si="34"/>
        <v>#REF!</v>
      </c>
      <c r="Q86" s="22" t="str">
        <f t="shared" si="34"/>
        <v>#REF!</v>
      </c>
      <c r="R86" s="22" t="str">
        <f>'System Parameters'!Q29</f>
        <v/>
      </c>
      <c r="S86" s="22" t="str">
        <f>'System Parameters'!I42</f>
        <v/>
      </c>
      <c r="T86" s="22" t="str">
        <f>'System Parameters'!J42</f>
        <v/>
      </c>
      <c r="U86" s="22" t="str">
        <f t="shared" ref="U86:V86" si="35">#REF!</f>
        <v>#REF!</v>
      </c>
      <c r="V86" s="22" t="str">
        <f t="shared" si="35"/>
        <v>#REF!</v>
      </c>
    </row>
    <row r="87">
      <c r="A87" s="22" t="str">
        <f>'System Parameters'!L29</f>
        <v>Total power in profile (mw)</v>
      </c>
      <c r="B87" s="22" t="str">
        <f>'System Parameters'!M29</f>
        <v/>
      </c>
      <c r="C87" s="22" t="str">
        <f>'System Parameters'!N29</f>
        <v/>
      </c>
      <c r="R87" s="22" t="str">
        <f>'System Parameters'!Q30</f>
        <v/>
      </c>
      <c r="S87" s="22" t="str">
        <f>'System Parameters'!I43</f>
        <v/>
      </c>
      <c r="T87" s="22" t="str">
        <f>'System Parameters'!J43</f>
        <v/>
      </c>
      <c r="U87" s="22" t="str">
        <f>'System Parameters'!K43</f>
        <v/>
      </c>
      <c r="V87" s="22" t="str">
        <f>'System Parameters'!L43</f>
        <v/>
      </c>
    </row>
    <row r="88">
      <c r="A88" s="22" t="str">
        <f>'System Parameters'!L30</f>
        <v>"off"</v>
      </c>
      <c r="B88" s="22">
        <f>sumproduct(B56:B76, $T56:$T76)</f>
        <v>0.18</v>
      </c>
      <c r="C88" s="22" t="str">
        <f>'System Parameters'!N30</f>
        <v>mW</v>
      </c>
      <c r="D88" s="22">
        <f t="shared" ref="D88:O88" si="36">sumproduct(D56:D76, $T56:$T76)</f>
        <v>0.18</v>
      </c>
      <c r="E88" s="22">
        <f t="shared" si="36"/>
        <v>0.18</v>
      </c>
      <c r="F88" s="22">
        <f t="shared" si="36"/>
        <v>0.165</v>
      </c>
      <c r="G88" s="22">
        <f t="shared" si="36"/>
        <v>0.18</v>
      </c>
      <c r="H88" s="22">
        <f t="shared" si="36"/>
        <v>0.18</v>
      </c>
      <c r="I88" s="22">
        <f t="shared" si="36"/>
        <v>0.18</v>
      </c>
      <c r="J88" s="22">
        <f t="shared" si="36"/>
        <v>0.18</v>
      </c>
      <c r="K88" s="22">
        <f t="shared" si="36"/>
        <v>0.18</v>
      </c>
      <c r="L88" s="22">
        <f t="shared" si="36"/>
        <v>0.177</v>
      </c>
      <c r="M88" s="22">
        <f t="shared" si="36"/>
        <v>0.18</v>
      </c>
      <c r="N88" s="22">
        <f t="shared" si="36"/>
        <v>0.18</v>
      </c>
      <c r="O88" s="22">
        <f t="shared" si="36"/>
        <v>0.18</v>
      </c>
      <c r="R88" s="22" t="str">
        <f>'System Parameters'!Q31</f>
        <v/>
      </c>
      <c r="S88" s="22" t="str">
        <f>'System Parameters'!I44</f>
        <v/>
      </c>
      <c r="T88" s="22" t="str">
        <f>'System Parameters'!J44</f>
        <v/>
      </c>
      <c r="U88" s="22" t="str">
        <f>'System Parameters'!K44</f>
        <v/>
      </c>
      <c r="V88" s="22" t="str">
        <f>'System Parameters'!L44</f>
        <v/>
      </c>
    </row>
    <row r="89">
      <c r="A89" s="22" t="str">
        <f>'System Parameters'!L31</f>
        <v>"sensing"</v>
      </c>
      <c r="B89" s="22">
        <f>sumproduct(B56:B76,$U56:$U76)</f>
        <v>224.905</v>
      </c>
      <c r="C89" s="22" t="str">
        <f>'System Parameters'!N31</f>
        <v>mW</v>
      </c>
      <c r="D89" s="22">
        <f t="shared" ref="D89:O89" si="37">sumproduct(D56:D76,$U56:$U76)</f>
        <v>223.6675</v>
      </c>
      <c r="E89" s="22">
        <f t="shared" si="37"/>
        <v>217.0675</v>
      </c>
      <c r="F89" s="22">
        <f t="shared" si="37"/>
        <v>224.905</v>
      </c>
      <c r="G89" s="22">
        <f t="shared" si="37"/>
        <v>224.905</v>
      </c>
      <c r="H89" s="22">
        <f t="shared" si="37"/>
        <v>224.905</v>
      </c>
      <c r="I89" s="22">
        <f t="shared" si="37"/>
        <v>224.905</v>
      </c>
      <c r="J89" s="22">
        <f t="shared" si="37"/>
        <v>224.905</v>
      </c>
      <c r="K89" s="22">
        <f t="shared" si="37"/>
        <v>224.905</v>
      </c>
      <c r="L89" s="22">
        <f t="shared" si="37"/>
        <v>224.902</v>
      </c>
      <c r="M89" s="22">
        <f t="shared" si="37"/>
        <v>217.02</v>
      </c>
      <c r="N89" s="22">
        <f t="shared" si="37"/>
        <v>219.3775</v>
      </c>
      <c r="O89" s="22">
        <f t="shared" si="37"/>
        <v>224.905</v>
      </c>
      <c r="R89" s="22" t="str">
        <f>'System Parameters'!Q32</f>
        <v/>
      </c>
      <c r="S89" s="22" t="str">
        <f>'System Parameters'!I45</f>
        <v/>
      </c>
      <c r="T89" s="22" t="str">
        <f>'System Parameters'!J45</f>
        <v/>
      </c>
      <c r="U89" s="22" t="str">
        <f>'System Parameters'!K45</f>
        <v/>
      </c>
      <c r="V89" s="22" t="str">
        <f>'System Parameters'!L45</f>
        <v/>
      </c>
    </row>
    <row r="90">
      <c r="A90" s="22" t="str">
        <f>'System Parameters'!L32</f>
        <v>"interactive"</v>
      </c>
      <c r="B90" s="22">
        <f>sumproduct(B56:B76, $V56:$V76)</f>
        <v>281.97</v>
      </c>
      <c r="C90" s="22" t="str">
        <f>'System Parameters'!N32</f>
        <v>mW</v>
      </c>
      <c r="D90" s="22">
        <f t="shared" ref="D90:O90" si="38">sumproduct(D56:D76, $V56:$V76)</f>
        <v>280.7325</v>
      </c>
      <c r="E90" s="22">
        <f t="shared" si="38"/>
        <v>274.1325</v>
      </c>
      <c r="F90" s="22">
        <f t="shared" si="38"/>
        <v>281.97</v>
      </c>
      <c r="G90" s="22">
        <f t="shared" si="38"/>
        <v>280.65</v>
      </c>
      <c r="H90" s="22">
        <f t="shared" si="38"/>
        <v>281.01</v>
      </c>
      <c r="I90" s="22">
        <f t="shared" si="38"/>
        <v>281.97</v>
      </c>
      <c r="J90" s="22">
        <f t="shared" si="38"/>
        <v>281.97</v>
      </c>
      <c r="K90" s="22">
        <f t="shared" si="38"/>
        <v>275.37</v>
      </c>
      <c r="L90" s="22">
        <f t="shared" si="38"/>
        <v>281.97</v>
      </c>
      <c r="M90" s="22">
        <f t="shared" si="38"/>
        <v>274.5</v>
      </c>
      <c r="N90" s="22">
        <f t="shared" si="38"/>
        <v>281.97</v>
      </c>
      <c r="O90" s="22">
        <f t="shared" si="38"/>
        <v>279.198</v>
      </c>
      <c r="R90" s="22" t="str">
        <f>'System Parameters'!Q33</f>
        <v/>
      </c>
      <c r="S90" s="22" t="str">
        <f>'System Parameters'!I46</f>
        <v/>
      </c>
      <c r="T90" s="22" t="str">
        <f>'System Parameters'!J46</f>
        <v/>
      </c>
      <c r="U90" s="22" t="str">
        <f>'System Parameters'!K46</f>
        <v/>
      </c>
      <c r="V90" s="22" t="str">
        <f>'System Parameters'!L46</f>
        <v/>
      </c>
    </row>
    <row r="91">
      <c r="A91" s="22" t="str">
        <f>'System Parameters'!L33</f>
        <v/>
      </c>
      <c r="B91" s="22" t="str">
        <f>'System Parameters'!M33</f>
        <v/>
      </c>
      <c r="C91" s="22" t="str">
        <f>'System Parameters'!N33</f>
        <v/>
      </c>
      <c r="D91" s="22" t="str">
        <f>'System Parameters'!O33</f>
        <v/>
      </c>
      <c r="E91" s="22" t="str">
        <f>'System Parameters'!P33</f>
        <v/>
      </c>
      <c r="F91" s="22" t="str">
        <f>'System Parameters'!Q34</f>
        <v/>
      </c>
      <c r="G91" s="22" t="str">
        <f>'System Parameters'!I47</f>
        <v/>
      </c>
      <c r="H91" s="22" t="str">
        <f>'System Parameters'!J47</f>
        <v/>
      </c>
      <c r="I91" s="22" t="str">
        <f>'System Parameters'!K47</f>
        <v/>
      </c>
      <c r="J91" s="22" t="str">
        <f>'System Parameters'!L47</f>
        <v/>
      </c>
      <c r="K91" s="22" t="str">
        <f>'System Parameters'!M47</f>
        <v/>
      </c>
      <c r="L91" s="22" t="str">
        <f>'System Parameters'!N47</f>
        <v/>
      </c>
      <c r="M91" s="22" t="str">
        <f>'System Parameters'!O47</f>
        <v/>
      </c>
      <c r="N91" s="22" t="str">
        <f>'System Parameters'!P47</f>
        <v/>
      </c>
      <c r="O91" s="22" t="str">
        <f>'System Parameters'!Q47</f>
        <v/>
      </c>
      <c r="R91" s="22" t="str">
        <f>'System Parameters'!Q34</f>
        <v/>
      </c>
      <c r="S91" s="22" t="str">
        <f>'System Parameters'!I47</f>
        <v/>
      </c>
      <c r="T91" s="22" t="str">
        <f>'System Parameters'!J47</f>
        <v/>
      </c>
      <c r="U91" s="22" t="str">
        <f>'System Parameters'!K47</f>
        <v/>
      </c>
      <c r="V91" s="22" t="str">
        <f>'System Parameters'!L47</f>
        <v/>
      </c>
    </row>
    <row r="92">
      <c r="A92" s="22" t="str">
        <f>'System Parameters'!L34</f>
        <v>Effective Battery Capacity</v>
      </c>
      <c r="B92" s="22" t="str">
        <f>'System Parameters'!M34</f>
        <v/>
      </c>
      <c r="C92" s="22" t="str">
        <f>'System Parameters'!N34</f>
        <v/>
      </c>
      <c r="D92" s="22" t="str">
        <f>'System Parameters'!O34</f>
        <v/>
      </c>
      <c r="E92" s="22" t="str">
        <f>'System Parameters'!P34</f>
        <v/>
      </c>
      <c r="F92" s="22" t="str">
        <f>'System Parameters'!Q35</f>
        <v/>
      </c>
      <c r="G92" s="22" t="str">
        <f>'System Parameters'!I48</f>
        <v/>
      </c>
      <c r="H92" s="22" t="str">
        <f>'System Parameters'!J48</f>
        <v/>
      </c>
      <c r="I92" s="22" t="str">
        <f>'System Parameters'!K48</f>
        <v/>
      </c>
      <c r="J92" s="22" t="str">
        <f>'System Parameters'!L48</f>
        <v/>
      </c>
      <c r="K92" s="22" t="str">
        <f>'System Parameters'!M48</f>
        <v/>
      </c>
      <c r="L92" s="22" t="str">
        <f>'System Parameters'!N48</f>
        <v/>
      </c>
      <c r="M92" s="22" t="str">
        <f>'System Parameters'!O48</f>
        <v/>
      </c>
      <c r="N92" s="22" t="str">
        <f>'System Parameters'!P48</f>
        <v/>
      </c>
      <c r="O92" s="22" t="str">
        <f>'System Parameters'!Q48</f>
        <v/>
      </c>
      <c r="P92" s="22" t="str">
        <f>'System Parameters'!O34</f>
        <v/>
      </c>
      <c r="Q92" s="22" t="str">
        <f>'System Parameters'!P34</f>
        <v/>
      </c>
      <c r="R92" s="22" t="str">
        <f>'System Parameters'!Q35</f>
        <v/>
      </c>
      <c r="S92" s="22" t="str">
        <f>'System Parameters'!I48</f>
        <v/>
      </c>
      <c r="T92" s="22" t="str">
        <f>'System Parameters'!J48</f>
        <v/>
      </c>
      <c r="U92" s="22" t="str">
        <f>'System Parameters'!K48</f>
        <v/>
      </c>
      <c r="V92" s="22" t="str">
        <f>'System Parameters'!L48</f>
        <v/>
      </c>
    </row>
    <row r="93">
      <c r="A93" s="22" t="str">
        <f>'System Parameters'!L35</f>
        <v/>
      </c>
      <c r="B93" s="22">
        <f>B80*B81*B82</f>
        <v>1831.5</v>
      </c>
      <c r="C93" s="22" t="str">
        <f>'System Parameters'!N35</f>
        <v>mW*h</v>
      </c>
      <c r="D93" s="22">
        <f t="shared" ref="D93:O93" si="39">$B93</f>
        <v>1831.5</v>
      </c>
      <c r="E93" s="22">
        <f t="shared" si="39"/>
        <v>1831.5</v>
      </c>
      <c r="F93" s="22">
        <f t="shared" si="39"/>
        <v>1831.5</v>
      </c>
      <c r="G93" s="22">
        <f t="shared" si="39"/>
        <v>1831.5</v>
      </c>
      <c r="H93" s="22">
        <f t="shared" si="39"/>
        <v>1831.5</v>
      </c>
      <c r="I93" s="22">
        <f t="shared" si="39"/>
        <v>1831.5</v>
      </c>
      <c r="J93" s="22">
        <f t="shared" si="39"/>
        <v>1831.5</v>
      </c>
      <c r="K93" s="22">
        <f t="shared" si="39"/>
        <v>1831.5</v>
      </c>
      <c r="L93" s="22">
        <f t="shared" si="39"/>
        <v>1831.5</v>
      </c>
      <c r="M93" s="22">
        <f t="shared" si="39"/>
        <v>1831.5</v>
      </c>
      <c r="N93" s="22">
        <f t="shared" si="39"/>
        <v>1831.5</v>
      </c>
      <c r="O93" s="22">
        <f t="shared" si="39"/>
        <v>1831.5</v>
      </c>
      <c r="P93" s="22" t="str">
        <f>'System Parameters'!O35</f>
        <v/>
      </c>
      <c r="Q93" s="22" t="str">
        <f>'System Parameters'!P35</f>
        <v/>
      </c>
      <c r="R93" s="22" t="str">
        <f>'System Parameters'!Q36</f>
        <v/>
      </c>
      <c r="S93" s="22" t="str">
        <f>'System Parameters'!I49</f>
        <v/>
      </c>
      <c r="T93" s="22" t="str">
        <f>'System Parameters'!J49</f>
        <v/>
      </c>
      <c r="U93" s="22" t="str">
        <f>'System Parameters'!K49</f>
        <v/>
      </c>
      <c r="V93" s="22" t="str">
        <f>'System Parameters'!L49</f>
        <v/>
      </c>
    </row>
    <row r="94">
      <c r="A94" s="22" t="str">
        <f>'System Parameters'!L36</f>
        <v/>
      </c>
      <c r="B94" s="22" t="str">
        <f>'System Parameters'!M36</f>
        <v/>
      </c>
      <c r="C94" s="22" t="str">
        <f>'System Parameters'!N36</f>
        <v/>
      </c>
      <c r="D94" s="22" t="str">
        <f>'System Parameters'!O36</f>
        <v/>
      </c>
      <c r="E94" s="22" t="str">
        <f>'System Parameters'!P36</f>
        <v/>
      </c>
      <c r="F94" s="22" t="str">
        <f>'System Parameters'!Q37</f>
        <v/>
      </c>
      <c r="G94" s="22" t="str">
        <f>'System Parameters'!I50</f>
        <v/>
      </c>
      <c r="H94" s="22" t="str">
        <f>'System Parameters'!J50</f>
        <v/>
      </c>
      <c r="I94" s="22" t="str">
        <f>'System Parameters'!K50</f>
        <v/>
      </c>
      <c r="J94" s="22" t="str">
        <f>'System Parameters'!L50</f>
        <v/>
      </c>
      <c r="K94" s="22" t="str">
        <f>'System Parameters'!M50</f>
        <v/>
      </c>
      <c r="L94" s="22" t="str">
        <f>'System Parameters'!N50</f>
        <v/>
      </c>
      <c r="M94" s="22" t="str">
        <f>'System Parameters'!O50</f>
        <v/>
      </c>
      <c r="N94" s="22" t="str">
        <f>'System Parameters'!P50</f>
        <v/>
      </c>
      <c r="O94" s="22" t="str">
        <f>'System Parameters'!Q50</f>
        <v/>
      </c>
      <c r="P94" s="22" t="str">
        <f>'System Parameters'!O36</f>
        <v/>
      </c>
      <c r="Q94" s="22" t="str">
        <f>'System Parameters'!P36</f>
        <v/>
      </c>
      <c r="R94" s="22" t="str">
        <f>'System Parameters'!Q37</f>
        <v/>
      </c>
      <c r="S94" s="22" t="str">
        <f>'System Parameters'!I50</f>
        <v/>
      </c>
      <c r="T94" s="22" t="str">
        <f>'System Parameters'!J50</f>
        <v/>
      </c>
      <c r="U94" s="22" t="str">
        <f>'System Parameters'!K50</f>
        <v/>
      </c>
      <c r="V94" s="22" t="str">
        <f>'System Parameters'!L50</f>
        <v/>
      </c>
    </row>
    <row r="95">
      <c r="A95" s="22" t="str">
        <f>'System Parameters'!L37</f>
        <v>Days of Use</v>
      </c>
      <c r="B95" s="22">
        <f>B93/($T78*B88+$U78*B89+$V78*B90)</f>
        <v>4.036185733</v>
      </c>
      <c r="C95" s="22" t="str">
        <f>'System Parameters'!N37</f>
        <v>days</v>
      </c>
      <c r="D95" s="22">
        <f t="shared" ref="D95:O95" si="40">D93/($T78*D88+$U78*D89+$V78*D90)</f>
        <v>4.058321054</v>
      </c>
      <c r="E95" s="22">
        <f t="shared" si="40"/>
        <v>4.180600098</v>
      </c>
      <c r="F95" s="22">
        <f t="shared" si="40"/>
        <v>4.039123147</v>
      </c>
      <c r="G95" s="22">
        <f t="shared" si="40"/>
        <v>4.036185733</v>
      </c>
      <c r="H95" s="22">
        <f t="shared" si="40"/>
        <v>4.036185733</v>
      </c>
      <c r="I95" s="22">
        <f t="shared" si="40"/>
        <v>4.036185733</v>
      </c>
      <c r="J95" s="22">
        <f t="shared" si="40"/>
        <v>4.036185733</v>
      </c>
      <c r="K95" s="22">
        <f t="shared" si="40"/>
        <v>4.036185733</v>
      </c>
      <c r="L95" s="22">
        <f t="shared" si="40"/>
        <v>4.036826259</v>
      </c>
      <c r="M95" s="22">
        <f t="shared" si="40"/>
        <v>4.181506849</v>
      </c>
      <c r="N95" s="22">
        <f t="shared" si="40"/>
        <v>4.136972996</v>
      </c>
      <c r="O95" s="22">
        <f t="shared" si="40"/>
        <v>4.036185733</v>
      </c>
      <c r="P95" s="22" t="str">
        <f>'System Parameters'!O37</f>
        <v/>
      </c>
      <c r="Q95" s="22" t="str">
        <f>'System Parameters'!P37</f>
        <v/>
      </c>
      <c r="R95" s="22" t="str">
        <f>'System Parameters'!Q38</f>
        <v/>
      </c>
      <c r="S95" s="22" t="str">
        <f>'System Parameters'!I51</f>
        <v/>
      </c>
      <c r="T95" s="22" t="str">
        <f>'System Parameters'!J51</f>
        <v/>
      </c>
      <c r="U95" s="22" t="str">
        <f>'System Parameters'!K51</f>
        <v/>
      </c>
      <c r="V95" s="22" t="str">
        <f>'System Parameters'!L51</f>
        <v/>
      </c>
    </row>
    <row r="96">
      <c r="A96" s="22" t="str">
        <f>'System Parameters'!L38</f>
        <v>Hours of Use</v>
      </c>
      <c r="B96" s="22">
        <f>B95*24</f>
        <v>96.86845759</v>
      </c>
      <c r="C96" s="22" t="str">
        <f>'System Parameters'!N38</f>
        <v>hours</v>
      </c>
      <c r="D96" s="22">
        <f t="shared" ref="D96:O96" si="41">D95*24</f>
        <v>97.39970529</v>
      </c>
      <c r="E96" s="22">
        <f t="shared" si="41"/>
        <v>100.3344024</v>
      </c>
      <c r="F96" s="22">
        <f t="shared" si="41"/>
        <v>96.93895554</v>
      </c>
      <c r="G96" s="22">
        <f t="shared" si="41"/>
        <v>96.86845759</v>
      </c>
      <c r="H96" s="22">
        <f t="shared" si="41"/>
        <v>96.86845759</v>
      </c>
      <c r="I96" s="22">
        <f t="shared" si="41"/>
        <v>96.86845759</v>
      </c>
      <c r="J96" s="22">
        <f t="shared" si="41"/>
        <v>96.86845759</v>
      </c>
      <c r="K96" s="22">
        <f t="shared" si="41"/>
        <v>96.86845759</v>
      </c>
      <c r="L96" s="22">
        <f t="shared" si="41"/>
        <v>96.88383021</v>
      </c>
      <c r="M96" s="22">
        <f t="shared" si="41"/>
        <v>100.3561644</v>
      </c>
      <c r="N96" s="22">
        <f t="shared" si="41"/>
        <v>99.28735191</v>
      </c>
      <c r="O96" s="22">
        <f t="shared" si="41"/>
        <v>96.86845759</v>
      </c>
      <c r="P96" s="22" t="str">
        <f>'System Parameters'!O38</f>
        <v/>
      </c>
      <c r="Q96" s="22" t="str">
        <f>'System Parameters'!P38</f>
        <v/>
      </c>
      <c r="R96" s="22" t="str">
        <f>'System Parameters'!Q39</f>
        <v/>
      </c>
      <c r="S96" s="22" t="str">
        <f>'System Parameters'!I52</f>
        <v/>
      </c>
      <c r="T96" s="22" t="str">
        <f>'System Parameters'!J52</f>
        <v/>
      </c>
      <c r="U96" s="22" t="str">
        <f>'System Parameters'!K52</f>
        <v/>
      </c>
      <c r="V96" s="22" t="str">
        <f>'System Parameters'!L52</f>
        <v/>
      </c>
    </row>
    <row r="97">
      <c r="A97" s="22" t="str">
        <f>'System Parameters'!A53</f>
        <v/>
      </c>
      <c r="B97" s="22" t="str">
        <f>'System Parameters'!K40</f>
        <v/>
      </c>
      <c r="C97" s="22" t="str">
        <f>'System Parameters'!L40</f>
        <v/>
      </c>
      <c r="D97" s="22" t="str">
        <f>'System Parameters'!M40</f>
        <v/>
      </c>
      <c r="O97" s="22" t="str">
        <f>'System Parameters'!N40</f>
        <v/>
      </c>
      <c r="P97" s="22" t="str">
        <f>'System Parameters'!O40</f>
        <v/>
      </c>
      <c r="Q97" s="22" t="str">
        <f>'System Parameters'!P40</f>
        <v/>
      </c>
      <c r="R97" s="22" t="str">
        <f>'System Parameters'!Q40</f>
        <v/>
      </c>
      <c r="S97" s="22" t="str">
        <f>'System Parameters'!I53</f>
        <v/>
      </c>
      <c r="T97" s="22" t="str">
        <f>'System Parameters'!J53</f>
        <v/>
      </c>
      <c r="U97" s="22" t="str">
        <f>'System Parameters'!K53</f>
        <v/>
      </c>
      <c r="V97" s="22" t="str">
        <f>'System Parameters'!L53</f>
        <v/>
      </c>
    </row>
    <row r="98">
      <c r="A98" s="9" t="s">
        <v>42</v>
      </c>
      <c r="B98" s="22" t="str">
        <f>'System Parameters'!K41</f>
        <v/>
      </c>
      <c r="C98" s="22" t="str">
        <f>'System Parameters'!L41</f>
        <v/>
      </c>
      <c r="D98" s="30">
        <f t="shared" ref="D98:O98" si="42">D96/$B96-1</f>
        <v>0.00548421764</v>
      </c>
      <c r="E98" s="30">
        <f t="shared" si="42"/>
        <v>0.03577991075</v>
      </c>
      <c r="F98" s="30">
        <f t="shared" si="42"/>
        <v>0.0007277699365</v>
      </c>
      <c r="G98" s="30">
        <f t="shared" si="42"/>
        <v>0</v>
      </c>
      <c r="H98" s="30">
        <f t="shared" si="42"/>
        <v>0</v>
      </c>
      <c r="I98" s="30">
        <f t="shared" si="42"/>
        <v>0</v>
      </c>
      <c r="J98" s="30">
        <f t="shared" si="42"/>
        <v>0</v>
      </c>
      <c r="K98" s="30">
        <f t="shared" si="42"/>
        <v>0</v>
      </c>
      <c r="L98" s="30">
        <f t="shared" si="42"/>
        <v>0.0001586958726</v>
      </c>
      <c r="M98" s="30">
        <f t="shared" si="42"/>
        <v>0.03600456621</v>
      </c>
      <c r="N98" s="30">
        <f t="shared" si="42"/>
        <v>0.02497091808</v>
      </c>
      <c r="O98" s="30">
        <f t="shared" si="42"/>
        <v>0</v>
      </c>
      <c r="P98" s="22" t="str">
        <f>'System Parameters'!O41</f>
        <v/>
      </c>
      <c r="Q98" s="22" t="str">
        <f>'System Parameters'!P41</f>
        <v/>
      </c>
      <c r="R98" s="22" t="str">
        <f>'System Parameters'!Q41</f>
        <v/>
      </c>
      <c r="S98" s="22" t="str">
        <f>'System Parameters'!I54</f>
        <v/>
      </c>
      <c r="T98" s="22" t="str">
        <f>'System Parameters'!J54</f>
        <v/>
      </c>
      <c r="U98" s="22" t="str">
        <f>'System Parameters'!K54</f>
        <v/>
      </c>
      <c r="V98" s="22" t="str">
        <f>'System Parameters'!L54</f>
        <v/>
      </c>
    </row>
    <row r="99">
      <c r="A99" s="9" t="s">
        <v>43</v>
      </c>
      <c r="B99" s="22" t="str">
        <f>'System Parameters'!K42</f>
        <v/>
      </c>
      <c r="C99" s="22" t="str">
        <f>'System Parameters'!L42</f>
        <v/>
      </c>
      <c r="D99" s="9" t="s">
        <v>44</v>
      </c>
      <c r="E99" s="9" t="s">
        <v>45</v>
      </c>
      <c r="F99" s="9" t="s">
        <v>46</v>
      </c>
      <c r="G99" s="9" t="s">
        <v>47</v>
      </c>
      <c r="H99" s="9" t="s">
        <v>48</v>
      </c>
      <c r="I99" s="9" t="s">
        <v>49</v>
      </c>
      <c r="J99" s="9" t="s">
        <v>50</v>
      </c>
      <c r="K99" s="9" t="s">
        <v>51</v>
      </c>
      <c r="L99" s="9" t="s">
        <v>52</v>
      </c>
      <c r="M99" s="9" t="s">
        <v>53</v>
      </c>
      <c r="N99" s="9" t="s">
        <v>54</v>
      </c>
      <c r="O99" s="9" t="s">
        <v>55</v>
      </c>
      <c r="P99" s="22" t="str">
        <f>'System Parameters'!O42</f>
        <v/>
      </c>
      <c r="Q99" s="22" t="str">
        <f>'System Parameters'!P42</f>
        <v/>
      </c>
      <c r="R99" s="22" t="str">
        <f>'System Parameters'!Q42</f>
        <v/>
      </c>
      <c r="S99" s="22" t="str">
        <f>'System Parameters'!I55</f>
        <v/>
      </c>
      <c r="T99" s="22" t="str">
        <f>'System Parameters'!J55</f>
        <v/>
      </c>
      <c r="U99" s="22" t="str">
        <f>'System Parameters'!K55</f>
        <v/>
      </c>
      <c r="V99" s="22" t="str">
        <f>'System Parameters'!L55</f>
        <v/>
      </c>
    </row>
    <row r="100">
      <c r="A100" s="22" t="str">
        <f>'System Parameters'!A56</f>
        <v/>
      </c>
      <c r="B100" s="22" t="str">
        <f>'System Parameters'!B56</f>
        <v/>
      </c>
      <c r="C100" s="22" t="str">
        <f>'System Parameters'!C56</f>
        <v/>
      </c>
      <c r="D100" s="22" t="str">
        <f>'System Parameters'!D56</f>
        <v/>
      </c>
      <c r="O100" s="22" t="str">
        <f>'System Parameters'!E56</f>
        <v/>
      </c>
      <c r="P100" s="22" t="str">
        <f>'System Parameters'!F56</f>
        <v/>
      </c>
      <c r="Q100" s="22" t="str">
        <f>'System Parameters'!G56</f>
        <v/>
      </c>
      <c r="R100" s="22" t="str">
        <f>'System Parameters'!H56</f>
        <v/>
      </c>
      <c r="S100" s="22" t="str">
        <f>'System Parameters'!I56</f>
        <v/>
      </c>
      <c r="T100" s="22" t="str">
        <f>'System Parameters'!J56</f>
        <v/>
      </c>
      <c r="U100" s="22" t="str">
        <f>'System Parameters'!K56</f>
        <v/>
      </c>
      <c r="V100" s="22" t="str">
        <f>'System Parameters'!L56</f>
        <v/>
      </c>
    </row>
    <row r="101">
      <c r="A101" s="22" t="str">
        <f>'System Parameters'!A57</f>
        <v/>
      </c>
      <c r="B101" s="22" t="str">
        <f>'System Parameters'!B57</f>
        <v/>
      </c>
      <c r="C101" s="22" t="str">
        <f>'System Parameters'!C57</f>
        <v/>
      </c>
      <c r="D101" s="22" t="str">
        <f>'System Parameters'!D57</f>
        <v/>
      </c>
      <c r="O101" s="22" t="str">
        <f>'System Parameters'!E57</f>
        <v/>
      </c>
      <c r="P101" s="22" t="str">
        <f>'System Parameters'!F57</f>
        <v/>
      </c>
      <c r="Q101" s="22" t="str">
        <f>'System Parameters'!G57</f>
        <v/>
      </c>
      <c r="R101" s="22" t="str">
        <f>'System Parameters'!H57</f>
        <v/>
      </c>
      <c r="S101" s="22" t="str">
        <f>'System Parameters'!I57</f>
        <v/>
      </c>
      <c r="T101" s="22" t="str">
        <f>'System Parameters'!J57</f>
        <v/>
      </c>
      <c r="U101" s="22" t="str">
        <f>'System Parameters'!K57</f>
        <v/>
      </c>
      <c r="V101" s="22" t="str">
        <f>'System Parameters'!L57</f>
        <v/>
      </c>
    </row>
    <row r="102">
      <c r="A102" s="22" t="str">
        <f>'System Parameters'!A58</f>
        <v/>
      </c>
      <c r="B102" s="22" t="str">
        <f>'System Parameters'!B58</f>
        <v/>
      </c>
      <c r="C102" s="22" t="str">
        <f>'System Parameters'!C58</f>
        <v/>
      </c>
      <c r="D102" s="22" t="str">
        <f>'System Parameters'!D58</f>
        <v/>
      </c>
      <c r="O102" s="22" t="str">
        <f>'System Parameters'!E58</f>
        <v/>
      </c>
      <c r="P102" s="22" t="str">
        <f>'System Parameters'!F58</f>
        <v/>
      </c>
      <c r="Q102" s="22" t="str">
        <f>'System Parameters'!G58</f>
        <v/>
      </c>
      <c r="R102" s="22" t="str">
        <f>'System Parameters'!H58</f>
        <v/>
      </c>
      <c r="S102" s="22" t="str">
        <f>'System Parameters'!I58</f>
        <v/>
      </c>
      <c r="T102" s="22" t="str">
        <f>'System Parameters'!J58</f>
        <v/>
      </c>
      <c r="U102" s="22" t="str">
        <f>'System Parameters'!K58</f>
        <v/>
      </c>
      <c r="V102" s="22" t="str">
        <f>'System Parameters'!L58</f>
        <v/>
      </c>
    </row>
    <row r="103">
      <c r="A103" s="22" t="str">
        <f>'System Parameters'!A59</f>
        <v/>
      </c>
      <c r="B103" s="22" t="str">
        <f>'System Parameters'!B59</f>
        <v/>
      </c>
      <c r="C103" s="22" t="str">
        <f>'System Parameters'!C59</f>
        <v/>
      </c>
      <c r="D103" s="22" t="str">
        <f>'System Parameters'!D59</f>
        <v/>
      </c>
      <c r="O103" s="22" t="str">
        <f>'System Parameters'!E59</f>
        <v/>
      </c>
      <c r="P103" s="22" t="str">
        <f>'System Parameters'!F59</f>
        <v/>
      </c>
      <c r="Q103" s="22" t="str">
        <f>'System Parameters'!G59</f>
        <v/>
      </c>
      <c r="R103" s="22" t="str">
        <f>'System Parameters'!H59</f>
        <v/>
      </c>
      <c r="S103" s="22" t="str">
        <f>'System Parameters'!I59</f>
        <v/>
      </c>
      <c r="T103" s="22" t="str">
        <f>'System Parameters'!J59</f>
        <v/>
      </c>
      <c r="U103" s="22" t="str">
        <f>'System Parameters'!K59</f>
        <v/>
      </c>
      <c r="V103" s="22" t="str">
        <f>'System Parameters'!L59</f>
        <v/>
      </c>
    </row>
    <row r="104">
      <c r="A104" s="22" t="str">
        <f>'System Parameters'!A60</f>
        <v/>
      </c>
      <c r="B104" s="22" t="str">
        <f>'System Parameters'!B60</f>
        <v/>
      </c>
      <c r="C104" s="22" t="str">
        <f>'System Parameters'!C60</f>
        <v/>
      </c>
      <c r="D104" s="22" t="str">
        <f>'System Parameters'!D60</f>
        <v/>
      </c>
      <c r="O104" s="22" t="str">
        <f>'System Parameters'!E60</f>
        <v/>
      </c>
      <c r="P104" s="22" t="str">
        <f>'System Parameters'!F60</f>
        <v/>
      </c>
      <c r="Q104" s="22" t="str">
        <f>'System Parameters'!G60</f>
        <v/>
      </c>
      <c r="R104" s="22" t="str">
        <f>'System Parameters'!H60</f>
        <v/>
      </c>
      <c r="S104" s="22" t="str">
        <f>'System Parameters'!I60</f>
        <v/>
      </c>
      <c r="T104" s="22" t="str">
        <f>'System Parameters'!J60</f>
        <v/>
      </c>
      <c r="U104" s="22" t="str">
        <f>'System Parameters'!K60</f>
        <v/>
      </c>
      <c r="V104" s="22" t="str">
        <f>'System Parameters'!L60</f>
        <v/>
      </c>
    </row>
    <row r="105">
      <c r="A105" s="22" t="str">
        <f>'System Parameters'!A61</f>
        <v/>
      </c>
      <c r="B105" s="22" t="str">
        <f>'System Parameters'!B61</f>
        <v/>
      </c>
      <c r="C105" s="22" t="str">
        <f>'System Parameters'!C61</f>
        <v/>
      </c>
      <c r="D105" s="22" t="str">
        <f>'System Parameters'!D61</f>
        <v/>
      </c>
      <c r="O105" s="22" t="str">
        <f>'System Parameters'!E61</f>
        <v/>
      </c>
      <c r="P105" s="22" t="str">
        <f>'System Parameters'!F61</f>
        <v/>
      </c>
      <c r="Q105" s="22" t="str">
        <f>'System Parameters'!G61</f>
        <v/>
      </c>
      <c r="R105" s="22" t="str">
        <f>'System Parameters'!H61</f>
        <v/>
      </c>
      <c r="S105" s="22" t="str">
        <f>'System Parameters'!I61</f>
        <v/>
      </c>
      <c r="T105" s="22" t="str">
        <f>'System Parameters'!J61</f>
        <v/>
      </c>
      <c r="U105" s="22" t="str">
        <f>'System Parameters'!K61</f>
        <v/>
      </c>
      <c r="V105" s="22" t="str">
        <f>'System Parameters'!L61</f>
        <v/>
      </c>
    </row>
    <row r="106">
      <c r="A106" s="22" t="str">
        <f>'System Parameters'!A62</f>
        <v/>
      </c>
      <c r="B106" s="22" t="str">
        <f>'System Parameters'!B62</f>
        <v/>
      </c>
      <c r="C106" s="22" t="str">
        <f>'System Parameters'!C62</f>
        <v/>
      </c>
      <c r="D106" s="22" t="str">
        <f>'System Parameters'!D62</f>
        <v/>
      </c>
      <c r="O106" s="22" t="str">
        <f>'System Parameters'!E62</f>
        <v/>
      </c>
      <c r="P106" s="22" t="str">
        <f>'System Parameters'!F62</f>
        <v/>
      </c>
      <c r="Q106" s="22" t="str">
        <f>'System Parameters'!G62</f>
        <v/>
      </c>
      <c r="R106" s="22" t="str">
        <f>'System Parameters'!H62</f>
        <v/>
      </c>
      <c r="S106" s="22" t="str">
        <f>'System Parameters'!I62</f>
        <v/>
      </c>
      <c r="T106" s="22" t="str">
        <f>'System Parameters'!J62</f>
        <v/>
      </c>
      <c r="U106" s="22" t="str">
        <f>'System Parameters'!K62</f>
        <v/>
      </c>
      <c r="V106" s="22" t="str">
        <f>'System Parameters'!L62</f>
        <v/>
      </c>
    </row>
    <row r="107">
      <c r="A107" s="22" t="str">
        <f>'System Parameters'!A63</f>
        <v/>
      </c>
      <c r="B107" s="22" t="str">
        <f>'System Parameters'!B63</f>
        <v/>
      </c>
      <c r="C107" s="22" t="str">
        <f>'System Parameters'!C63</f>
        <v/>
      </c>
      <c r="D107" s="22" t="str">
        <f>'System Parameters'!D63</f>
        <v/>
      </c>
      <c r="O107" s="22" t="str">
        <f>'System Parameters'!E63</f>
        <v/>
      </c>
      <c r="P107" s="22" t="str">
        <f>'System Parameters'!F63</f>
        <v/>
      </c>
      <c r="Q107" s="22" t="str">
        <f>'System Parameters'!G63</f>
        <v/>
      </c>
      <c r="R107" s="22" t="str">
        <f>'System Parameters'!H63</f>
        <v/>
      </c>
      <c r="S107" s="22" t="str">
        <f>'System Parameters'!I63</f>
        <v/>
      </c>
      <c r="T107" s="22" t="str">
        <f>'System Parameters'!J63</f>
        <v/>
      </c>
      <c r="U107" s="22" t="str">
        <f>'System Parameters'!K63</f>
        <v/>
      </c>
      <c r="V107" s="22" t="str">
        <f>'System Parameters'!L63</f>
        <v/>
      </c>
    </row>
    <row r="108">
      <c r="A108" s="22" t="str">
        <f>'System Parameters'!A64</f>
        <v/>
      </c>
      <c r="B108" s="22" t="str">
        <f>'System Parameters'!B64</f>
        <v/>
      </c>
      <c r="C108" s="22" t="str">
        <f>'System Parameters'!C64</f>
        <v/>
      </c>
      <c r="D108" s="22" t="str">
        <f>'System Parameters'!D64</f>
        <v/>
      </c>
      <c r="O108" s="22" t="str">
        <f>'System Parameters'!E64</f>
        <v/>
      </c>
      <c r="P108" s="22" t="str">
        <f>'System Parameters'!F64</f>
        <v/>
      </c>
      <c r="Q108" s="22" t="str">
        <f>'System Parameters'!G64</f>
        <v/>
      </c>
      <c r="R108" s="22" t="str">
        <f>'System Parameters'!H64</f>
        <v/>
      </c>
      <c r="S108" s="22" t="str">
        <f>'System Parameters'!I64</f>
        <v/>
      </c>
      <c r="T108" s="22" t="str">
        <f>'System Parameters'!J64</f>
        <v/>
      </c>
      <c r="U108" s="22" t="str">
        <f>'System Parameters'!K64</f>
        <v/>
      </c>
      <c r="V108" s="22" t="str">
        <f>'System Parameters'!L64</f>
        <v/>
      </c>
    </row>
    <row r="109">
      <c r="A109" s="22" t="str">
        <f>'System Parameters'!A65</f>
        <v/>
      </c>
      <c r="B109" s="22" t="str">
        <f>'System Parameters'!B65</f>
        <v/>
      </c>
      <c r="C109" s="22" t="str">
        <f>'System Parameters'!C65</f>
        <v/>
      </c>
      <c r="D109" s="22" t="str">
        <f>'System Parameters'!D65</f>
        <v/>
      </c>
      <c r="O109" s="22" t="str">
        <f>'System Parameters'!E65</f>
        <v/>
      </c>
      <c r="P109" s="22" t="str">
        <f>'System Parameters'!F65</f>
        <v/>
      </c>
      <c r="Q109" s="22" t="str">
        <f>'System Parameters'!G65</f>
        <v/>
      </c>
      <c r="R109" s="22" t="str">
        <f>'System Parameters'!H65</f>
        <v/>
      </c>
      <c r="S109" s="22" t="str">
        <f>'System Parameters'!I65</f>
        <v/>
      </c>
      <c r="T109" s="22" t="str">
        <f>'System Parameters'!J65</f>
        <v/>
      </c>
      <c r="U109" s="22" t="str">
        <f>'System Parameters'!K65</f>
        <v/>
      </c>
      <c r="V109" s="22" t="str">
        <f>'System Parameters'!L65</f>
        <v/>
      </c>
    </row>
    <row r="110">
      <c r="A110" s="22" t="str">
        <f>'System Parameters'!A66</f>
        <v/>
      </c>
      <c r="B110" s="22" t="str">
        <f>'System Parameters'!B66</f>
        <v/>
      </c>
      <c r="C110" s="22" t="str">
        <f>'System Parameters'!C66</f>
        <v/>
      </c>
      <c r="D110" s="22" t="str">
        <f>'System Parameters'!D66</f>
        <v/>
      </c>
      <c r="O110" s="22" t="str">
        <f>'System Parameters'!E66</f>
        <v/>
      </c>
      <c r="P110" s="22" t="str">
        <f>'System Parameters'!F66</f>
        <v/>
      </c>
      <c r="Q110" s="22" t="str">
        <f>'System Parameters'!G66</f>
        <v/>
      </c>
      <c r="R110" s="22" t="str">
        <f>'System Parameters'!H66</f>
        <v/>
      </c>
      <c r="S110" s="22" t="str">
        <f>'System Parameters'!I66</f>
        <v/>
      </c>
      <c r="T110" s="22" t="str">
        <f>'System Parameters'!J66</f>
        <v/>
      </c>
      <c r="U110" s="22" t="str">
        <f>'System Parameters'!K66</f>
        <v/>
      </c>
      <c r="V110" s="22" t="str">
        <f>'System Parameters'!L66</f>
        <v/>
      </c>
    </row>
    <row r="111">
      <c r="A111" s="22" t="str">
        <f>'System Parameters'!A67</f>
        <v/>
      </c>
      <c r="B111" s="22" t="str">
        <f>'System Parameters'!B67</f>
        <v/>
      </c>
      <c r="C111" s="22" t="str">
        <f>'System Parameters'!C67</f>
        <v/>
      </c>
      <c r="D111" s="22" t="str">
        <f>'System Parameters'!D67</f>
        <v/>
      </c>
      <c r="O111" s="22" t="str">
        <f>'System Parameters'!E67</f>
        <v/>
      </c>
      <c r="P111" s="22" t="str">
        <f>'System Parameters'!F67</f>
        <v/>
      </c>
      <c r="Q111" s="22" t="str">
        <f>'System Parameters'!G67</f>
        <v/>
      </c>
      <c r="R111" s="22" t="str">
        <f>'System Parameters'!H67</f>
        <v/>
      </c>
      <c r="S111" s="22" t="str">
        <f>'System Parameters'!I67</f>
        <v/>
      </c>
      <c r="T111" s="22" t="str">
        <f>'System Parameters'!J67</f>
        <v/>
      </c>
      <c r="U111" s="22" t="str">
        <f>'System Parameters'!K67</f>
        <v/>
      </c>
      <c r="V111" s="22" t="str">
        <f>'System Parameters'!L67</f>
        <v/>
      </c>
    </row>
    <row r="112">
      <c r="A112" s="22" t="str">
        <f>'System Parameters'!A68</f>
        <v/>
      </c>
      <c r="B112" s="22" t="str">
        <f>'System Parameters'!B68</f>
        <v/>
      </c>
      <c r="C112" s="22" t="str">
        <f>'System Parameters'!C68</f>
        <v/>
      </c>
      <c r="D112" s="22" t="str">
        <f>'System Parameters'!D68</f>
        <v/>
      </c>
      <c r="O112" s="22" t="str">
        <f>'System Parameters'!E68</f>
        <v/>
      </c>
      <c r="P112" s="22" t="str">
        <f>'System Parameters'!F68</f>
        <v/>
      </c>
      <c r="Q112" s="22" t="str">
        <f>'System Parameters'!G68</f>
        <v/>
      </c>
      <c r="R112" s="22" t="str">
        <f>'System Parameters'!H68</f>
        <v/>
      </c>
      <c r="S112" s="22" t="str">
        <f>'System Parameters'!I68</f>
        <v/>
      </c>
      <c r="T112" s="22" t="str">
        <f>'System Parameters'!J68</f>
        <v/>
      </c>
      <c r="U112" s="22" t="str">
        <f>'System Parameters'!K68</f>
        <v/>
      </c>
      <c r="V112" s="22" t="str">
        <f>'System Parameters'!L68</f>
        <v/>
      </c>
    </row>
    <row r="113">
      <c r="A113" s="22" t="str">
        <f>'System Parameters'!A69</f>
        <v/>
      </c>
      <c r="B113" s="22" t="str">
        <f>'System Parameters'!B69</f>
        <v/>
      </c>
      <c r="C113" s="22" t="str">
        <f>'System Parameters'!C69</f>
        <v/>
      </c>
      <c r="D113" s="22" t="str">
        <f>'System Parameters'!D69</f>
        <v/>
      </c>
      <c r="O113" s="22" t="str">
        <f>'System Parameters'!E69</f>
        <v/>
      </c>
      <c r="P113" s="22" t="str">
        <f>'System Parameters'!F69</f>
        <v/>
      </c>
      <c r="Q113" s="22" t="str">
        <f>'System Parameters'!G69</f>
        <v/>
      </c>
      <c r="R113" s="22" t="str">
        <f>'System Parameters'!H69</f>
        <v/>
      </c>
      <c r="S113" s="22" t="str">
        <f>'System Parameters'!I69</f>
        <v/>
      </c>
      <c r="T113" s="22" t="str">
        <f>'System Parameters'!J69</f>
        <v/>
      </c>
      <c r="U113" s="22" t="str">
        <f>'System Parameters'!K69</f>
        <v/>
      </c>
      <c r="V113" s="22" t="str">
        <f>'System Parameters'!L69</f>
        <v/>
      </c>
    </row>
    <row r="114">
      <c r="A114" s="22" t="str">
        <f>'System Parameters'!A70</f>
        <v/>
      </c>
      <c r="B114" s="22" t="str">
        <f>'System Parameters'!B70</f>
        <v/>
      </c>
      <c r="C114" s="22" t="str">
        <f>'System Parameters'!C70</f>
        <v/>
      </c>
      <c r="D114" s="22" t="str">
        <f>'System Parameters'!D70</f>
        <v/>
      </c>
      <c r="O114" s="22" t="str">
        <f>'System Parameters'!E70</f>
        <v/>
      </c>
      <c r="P114" s="22" t="str">
        <f>'System Parameters'!F70</f>
        <v/>
      </c>
      <c r="Q114" s="22" t="str">
        <f>'System Parameters'!G70</f>
        <v/>
      </c>
      <c r="R114" s="22" t="str">
        <f>'System Parameters'!H70</f>
        <v/>
      </c>
      <c r="S114" s="22" t="str">
        <f>'System Parameters'!I70</f>
        <v/>
      </c>
      <c r="T114" s="22" t="str">
        <f>'System Parameters'!J70</f>
        <v/>
      </c>
      <c r="U114" s="22" t="str">
        <f>'System Parameters'!K70</f>
        <v/>
      </c>
      <c r="V114" s="22" t="str">
        <f>'System Parameters'!L70</f>
        <v/>
      </c>
    </row>
    <row r="115">
      <c r="A115" s="22" t="str">
        <f>'System Parameters'!A71</f>
        <v/>
      </c>
      <c r="B115" s="22" t="str">
        <f>'System Parameters'!B71</f>
        <v/>
      </c>
      <c r="C115" s="22" t="str">
        <f>'System Parameters'!C71</f>
        <v/>
      </c>
      <c r="D115" s="22" t="str">
        <f>'System Parameters'!D71</f>
        <v/>
      </c>
      <c r="O115" s="22" t="str">
        <f>'System Parameters'!E71</f>
        <v/>
      </c>
      <c r="P115" s="22" t="str">
        <f>'System Parameters'!F71</f>
        <v/>
      </c>
      <c r="Q115" s="22" t="str">
        <f>'System Parameters'!G71</f>
        <v/>
      </c>
      <c r="R115" s="22" t="str">
        <f>'System Parameters'!H71</f>
        <v/>
      </c>
      <c r="S115" s="22" t="str">
        <f>'System Parameters'!I71</f>
        <v/>
      </c>
      <c r="T115" s="22" t="str">
        <f>'System Parameters'!J71</f>
        <v/>
      </c>
      <c r="U115" s="22" t="str">
        <f>'System Parameters'!K71</f>
        <v/>
      </c>
      <c r="V115" s="22" t="str">
        <f>'System Parameters'!L71</f>
        <v/>
      </c>
    </row>
    <row r="116">
      <c r="A116" s="22" t="str">
        <f>'System Parameters'!A72</f>
        <v/>
      </c>
      <c r="B116" s="22" t="str">
        <f>'System Parameters'!B72</f>
        <v/>
      </c>
      <c r="C116" s="22" t="str">
        <f>'System Parameters'!C72</f>
        <v/>
      </c>
      <c r="D116" s="22" t="str">
        <f>'System Parameters'!D72</f>
        <v/>
      </c>
      <c r="O116" s="22" t="str">
        <f>'System Parameters'!E72</f>
        <v/>
      </c>
      <c r="P116" s="22" t="str">
        <f>'System Parameters'!F72</f>
        <v/>
      </c>
      <c r="Q116" s="22" t="str">
        <f>'System Parameters'!G72</f>
        <v/>
      </c>
      <c r="R116" s="22" t="str">
        <f>'System Parameters'!H72</f>
        <v/>
      </c>
      <c r="S116" s="22" t="str">
        <f>'System Parameters'!I72</f>
        <v/>
      </c>
      <c r="T116" s="22" t="str">
        <f>'System Parameters'!J72</f>
        <v/>
      </c>
      <c r="U116" s="22" t="str">
        <f>'System Parameters'!K72</f>
        <v/>
      </c>
      <c r="V116" s="22" t="str">
        <f>'System Parameters'!L72</f>
        <v/>
      </c>
    </row>
    <row r="117">
      <c r="A117" s="22" t="str">
        <f>'System Parameters'!A73</f>
        <v/>
      </c>
      <c r="B117" s="22" t="str">
        <f>'System Parameters'!B73</f>
        <v/>
      </c>
      <c r="C117" s="22" t="str">
        <f>'System Parameters'!C73</f>
        <v/>
      </c>
      <c r="D117" s="22" t="str">
        <f>'System Parameters'!D73</f>
        <v/>
      </c>
      <c r="O117" s="22" t="str">
        <f>'System Parameters'!E73</f>
        <v/>
      </c>
      <c r="P117" s="22" t="str">
        <f>'System Parameters'!F73</f>
        <v/>
      </c>
      <c r="Q117" s="22" t="str">
        <f>'System Parameters'!G73</f>
        <v/>
      </c>
      <c r="R117" s="22" t="str">
        <f>'System Parameters'!H73</f>
        <v/>
      </c>
      <c r="S117" s="22" t="str">
        <f>'System Parameters'!I73</f>
        <v/>
      </c>
      <c r="T117" s="22" t="str">
        <f>'System Parameters'!J73</f>
        <v/>
      </c>
      <c r="U117" s="22" t="str">
        <f>'System Parameters'!K73</f>
        <v/>
      </c>
      <c r="V117" s="22" t="str">
        <f>'System Parameters'!L73</f>
        <v/>
      </c>
    </row>
    <row r="118">
      <c r="A118" s="22" t="str">
        <f>'System Parameters'!A74</f>
        <v/>
      </c>
      <c r="B118" s="22" t="str">
        <f>'System Parameters'!B74</f>
        <v/>
      </c>
      <c r="C118" s="22" t="str">
        <f>'System Parameters'!C74</f>
        <v/>
      </c>
      <c r="D118" s="22" t="str">
        <f>'System Parameters'!D74</f>
        <v/>
      </c>
      <c r="O118" s="22" t="str">
        <f>'System Parameters'!E74</f>
        <v/>
      </c>
      <c r="P118" s="22" t="str">
        <f>'System Parameters'!F74</f>
        <v/>
      </c>
      <c r="Q118" s="22" t="str">
        <f>'System Parameters'!G74</f>
        <v/>
      </c>
      <c r="R118" s="22" t="str">
        <f>'System Parameters'!H74</f>
        <v/>
      </c>
      <c r="S118" s="22" t="str">
        <f>'System Parameters'!I74</f>
        <v/>
      </c>
      <c r="T118" s="22" t="str">
        <f>'System Parameters'!J74</f>
        <v/>
      </c>
      <c r="U118" s="22" t="str">
        <f>'System Parameters'!K74</f>
        <v/>
      </c>
      <c r="V118" s="22" t="str">
        <f>'System Parameters'!L74</f>
        <v/>
      </c>
    </row>
  </sheetData>
  <drawing r:id="rId1"/>
</worksheet>
</file>